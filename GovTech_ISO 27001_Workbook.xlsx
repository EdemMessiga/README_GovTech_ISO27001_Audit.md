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gagement Overview" sheetId="1" state="visible" r:id="rId3"/>
    <sheet name="ITGC Assessment" sheetId="2" state="visible" r:id="rId4"/>
    <sheet name="NC and OFI Track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<sst xmlns="http://schemas.openxmlformats.org/spreadsheetml/2006/main" count="614" uniqueCount="419">
  <si>
    <t xml:space="preserve">ISO 27001:2022 | ISMS INTERNAL AUDIT WORKBOOK</t>
  </si>
  <si>
    <t xml:space="preserve">GovTech Ontario | Chief Information Security Office | May 2026 | PROTECTED B</t>
  </si>
  <si>
    <t xml:space="preserve">Engagement Title</t>
  </si>
  <si>
    <t xml:space="preserve">ISO 27001:2022 ISMS Surveillance Audit | IT General Controls Assessment</t>
  </si>
  <si>
    <t xml:space="preserve">Auditee (Fictional)</t>
  </si>
  <si>
    <t xml:space="preserve">GovTech Ontario | Provincial Digital Services Agency (Crown Agency, Government of Ontario)</t>
  </si>
  <si>
    <t xml:space="preserve">Audit Lead</t>
  </si>
  <si>
    <t xml:space="preserve">Edem Messiga, ISO 27001 Certified Lead Auditor | Chief Information Security Office</t>
  </si>
  <si>
    <t xml:space="preserve">System Description</t>
  </si>
  <si>
    <t xml:space="preserve">Citizen-facing digital service delivery platform (Ontario.ca portal) and backend integration middleware connecting 14 provincial ministries</t>
  </si>
  <si>
    <t xml:space="preserve">Citizens Served</t>
  </si>
  <si>
    <t xml:space="preserve">Approx. 8.3M active registered citizens; processes applications for 47 provincial services (drivers' licences, health cards, business permits, OSAP)</t>
  </si>
  <si>
    <t xml:space="preserve">Data Classification</t>
  </si>
  <si>
    <t xml:space="preserve">PROTECTED B (under Ontario's Information Security Classification Standard | contains personal information of citizens)</t>
  </si>
  <si>
    <t xml:space="preserve">Regulatory Context</t>
  </si>
  <si>
    <t xml:space="preserve">Ontario Freedom of Information and Protection of Privacy Act (FIPPA); Ontario's IT Security Policy (GO-ITS 25); Treasury Board Directive on IT Security; PIPEDA (federal)</t>
  </si>
  <si>
    <t xml:space="preserve">Audit Type</t>
  </si>
  <si>
    <t xml:space="preserve">Annual ISO 27001:2022 Surveillance Audit (Year 2 of 3-year certification cycle)</t>
  </si>
  <si>
    <t xml:space="preserve">Certification Body</t>
  </si>
  <si>
    <t xml:space="preserve">BSI Group Canada (fictional | surveillance audit by certification body representative)</t>
  </si>
  <si>
    <t xml:space="preserve">Audit Scope</t>
  </si>
  <si>
    <t xml:space="preserve">ISMS covering: IAM domain, Change Management domain, Logging and Monitoring domain</t>
  </si>
  <si>
    <t xml:space="preserve">Prior Audit</t>
  </si>
  <si>
    <t xml:space="preserve">Year 1 Surveillance Audit | June 2025 (2 Minor NCs; both closed; 3 Opportunities for Improvement noted)</t>
  </si>
  <si>
    <t xml:space="preserve">Audit Period</t>
  </si>
  <si>
    <t xml:space="preserve">01 May 2026 to 23 May 2026 (15 business days)</t>
  </si>
  <si>
    <t xml:space="preserve">Report Date</t>
  </si>
  <si>
    <t xml:space="preserve">May 25, 2026</t>
  </si>
  <si>
    <t xml:space="preserve">Classification</t>
  </si>
  <si>
    <t xml:space="preserve">PROTECTED B | Restricted to CISO, Deputy Minister IT, Ontario Digital Service leadership</t>
  </si>
  <si>
    <t xml:space="preserve">ISO 27001:2022 Annex A Domains Assessed</t>
  </si>
  <si>
    <t xml:space="preserve">Domain</t>
  </si>
  <si>
    <t xml:space="preserve">Annex A Controls Assessed</t>
  </si>
  <si>
    <t xml:space="preserve">Regulatory Alignment</t>
  </si>
  <si>
    <t xml:space="preserve">Risk Priority</t>
  </si>
  <si>
    <t xml:space="preserve">Identity and Access Management</t>
  </si>
  <si>
    <t xml:space="preserve">A.5.15, A.5.16, A.5.17, A.5.18, A.8.2, A.8.3, A.8.4</t>
  </si>
  <si>
    <t xml:space="preserve">FIPPA ss.4,10; GO-ITS 25.0 s.3; Ontario PAM Standard</t>
  </si>
  <si>
    <t xml:space="preserve">Critical</t>
  </si>
  <si>
    <t xml:space="preserve">Change Management</t>
  </si>
  <si>
    <t xml:space="preserve">A.8.32, A.8.29, A.8.25, A.8.26, A.8.27</t>
  </si>
  <si>
    <t xml:space="preserve">GO-ITS 25.30 Change Management; Ontario Digital Standard; Treasury Board Directive</t>
  </si>
  <si>
    <t xml:space="preserve">High</t>
  </si>
  <si>
    <t xml:space="preserve">Logging and Monitoring</t>
  </si>
  <si>
    <t xml:space="preserve">A.8.15, A.8.16, A.8.17, A.8.20</t>
  </si>
  <si>
    <t xml:space="preserve">FIPPA s.10; GO-ITS 25.50 Audit Logging; Ontario Security Operations Centre requirements</t>
  </si>
  <si>
    <t xml:space="preserve">Cryptography and Data Protection</t>
  </si>
  <si>
    <t xml:space="preserve">A.8.24, A.8.25, A.5.33, A.5.34</t>
  </si>
  <si>
    <t xml:space="preserve">Ontario Encryption Standard; FIPPA s.10; GO-ITS 25.20 Cryptographic Controls</t>
  </si>
  <si>
    <t xml:space="preserve">Supplier and Third-Party Risk</t>
  </si>
  <si>
    <t xml:space="preserve">A.5.19, A.5.20, A.5.21, A.5.22, A.5.23</t>
  </si>
  <si>
    <t xml:space="preserve">Treasury Board Directive on IT Procurement; FIPPA s.10; Ontario Vendor of Record process</t>
  </si>
  <si>
    <t xml:space="preserve">Medium</t>
  </si>
  <si>
    <t xml:space="preserve">Nonconformity and Observation Summary</t>
  </si>
  <si>
    <t xml:space="preserve">Major NC</t>
  </si>
  <si>
    <t xml:space="preserve">Minor NC</t>
  </si>
  <si>
    <t xml:space="preserve">OFI</t>
  </si>
  <si>
    <t xml:space="preserve">IAM</t>
  </si>
  <si>
    <t xml:space="preserve">Cryptography</t>
  </si>
  <si>
    <t xml:space="preserve">Supplier Risk</t>
  </si>
  <si>
    <t xml:space="preserve">TOTALS</t>
  </si>
  <si>
    <t xml:space="preserve">Major NC Status</t>
  </si>
  <si>
    <t xml:space="preserve">1 Major NC = certification at risk if not closed within 90 days</t>
  </si>
  <si>
    <t xml:space="preserve">Minor NC Target</t>
  </si>
  <si>
    <t xml:space="preserve">All minor NCs must be closed before next surveillance audit (May 2027)</t>
  </si>
  <si>
    <t xml:space="preserve">ISO 27001:2022 ITGC Assessment | GovTech Ontario | May 2026 | PROTECTED B</t>
  </si>
  <si>
    <t xml:space="preserve">Auditor: Edem Messiga | Certification Body: BSI Group Canada | Year 2 Surveillance Audit | Certification Expiry: June 2027</t>
  </si>
  <si>
    <t xml:space="preserve">Ctrl ID</t>
  </si>
  <si>
    <t xml:space="preserve">Annex A</t>
  </si>
  <si>
    <t xml:space="preserve">Control Title</t>
  </si>
  <si>
    <t xml:space="preserve">Audit Procedure</t>
  </si>
  <si>
    <t xml:space="preserve">Population and Sample</t>
  </si>
  <si>
    <t xml:space="preserve">Evidence Obtained</t>
  </si>
  <si>
    <t xml:space="preserve">Finding</t>
  </si>
  <si>
    <t xml:space="preserve">NC Type</t>
  </si>
  <si>
    <t xml:space="preserve">Risk Rating</t>
  </si>
  <si>
    <t xml:space="preserve">Root Cause Analysis</t>
  </si>
  <si>
    <t xml:space="preserve">Government Context</t>
  </si>
  <si>
    <t xml:space="preserve">Corrective Action Required</t>
  </si>
  <si>
    <t xml:space="preserve">Control Owner</t>
  </si>
  <si>
    <t xml:space="preserve">Target Date</t>
  </si>
  <si>
    <t xml:space="preserve">GO-ITS Reference</t>
  </si>
  <si>
    <t xml:space="preserve">Workpaper</t>
  </si>
  <si>
    <t xml:space="preserve">Identity and Access Management Domain</t>
  </si>
  <si>
    <t xml:space="preserve">GT-IAM-01</t>
  </si>
  <si>
    <t xml:space="preserve">A.5.15</t>
  </si>
  <si>
    <t xml:space="preserve">Access Control Policy</t>
  </si>
  <si>
    <t xml:space="preserve">Reviewed Access Control Policy; verified version, CISO approval, and annual review date; confirmed policy covers all platform users including contractors and ministry integration accounts.</t>
  </si>
  <si>
    <t xml:space="preserve">Policy document; CISO approval record; version history (SharePoint)</t>
  </si>
  <si>
    <t xml:space="preserve">Access Control Policy v4.3 approved by CISO February 2026. Annual review confirmed. Policy covers 8 user categories including ministry API accounts. Contractor access section updated in v4.3 to reflect new Ontario government contractor framework (December 2025). Policy distributed to all staff via intranet and acknowledged in Workday.</t>
  </si>
  <si>
    <t xml:space="preserve">Compliant</t>
  </si>
  <si>
    <t xml:space="preserve">Low</t>
  </si>
  <si>
    <t xml:space="preserve">N/A</t>
  </si>
  <si>
    <t xml:space="preserve">In Ontario government, the Access Control Policy must align with GO-ITS 25.0 (Identity and Access Management Standard). Version 4.3 is confirmed aligned.</t>
  </si>
  <si>
    <t xml:space="preserve">No corrective action required. Maintain annual review cadence.</t>
  </si>
  <si>
    <t xml:space="preserve">Director, IAM</t>
  </si>
  <si>
    <t xml:space="preserve">GO-ITS 25.0 s.3</t>
  </si>
  <si>
    <t xml:space="preserve">WP-IAM-001</t>
  </si>
  <si>
    <t xml:space="preserve">GT-IAM-02</t>
  </si>
  <si>
    <t xml:space="preserve">A.5.16</t>
  </si>
  <si>
    <t xml:space="preserve">Identity Management | Unique User IDs and Lifecycle</t>
  </si>
  <si>
    <t xml:space="preserve">Extracted all platform user accounts from Azure AD; searched for shared or generic accounts; sampled 15 accounts for provisioning workflow evidence; verified deprovisioning for 10 leavers in last 6 months.</t>
  </si>
  <si>
    <t xml:space="preserve">Azure AD extract (n=2,847 accounts); HR leavers list (n=10, Nov 2025 to May 2026); provisioning tickets (ServiceNow, n=15 sample)</t>
  </si>
  <si>
    <t xml:space="preserve">All 2,847 accounts are individually named | no shared accounts found in Azure AD. 15 sampled provisioning records all have approved ServiceNow tickets with CISO-delegated manager approval. Deprovisioning sample: 9 of 10 leavers had accounts disabled within 4 hours of termination. 1 account (m.okonkwo@govtech.on.ca | contractor, end date March 31, 2026) was disabled 6 days after contract expiry | HR system did not automatically update contractor end dates for fixed-term renewals that were not processed in the standard offboarding module.</t>
  </si>
  <si>
    <t xml:space="preserve">Partial</t>
  </si>
  <si>
    <t xml:space="preserve">The HR system (SAP SuccessFactors) does not automatically trigger offboarding for contractors whose fixed-term contract expires without a renewal | it only triggers when a termination is explicitly processed. The IAM team discovered this gap when processing the quarterly contractor review.</t>
  </si>
  <si>
    <t xml:space="preserve">Ontario government contractors are subject to the Ontario Government Personal Information Protection Act obligations. Lingering contractor access to PROTECTED B citizen data after contract expiry is a FIPPA risk and a potential privacy breach.</t>
  </si>
  <si>
    <t xml:space="preserve">Update SAP SuccessFactors configuration to trigger automatic account disable when a contractor's end date is reached, regardless of whether a renewal is in process. Implement 30-day pre-expiry notification to manager and IAM team. Target: June 30, 2026.</t>
  </si>
  <si>
    <t xml:space="preserve">2026-06-30</t>
  </si>
  <si>
    <t xml:space="preserve">GO-ITS 25.0 s.4.1; FIPPA s.4</t>
  </si>
  <si>
    <t xml:space="preserve">WP-IAM-002</t>
  </si>
  <si>
    <t xml:space="preserve">GT-IAM-03</t>
  </si>
  <si>
    <t xml:space="preserve">A.5.17</t>
  </si>
  <si>
    <t xml:space="preserve">Authentication | Password and Credential Management</t>
  </si>
  <si>
    <t xml:space="preserve">Reviewed Azure AD password policy for all users; reviewed MFA enforcement via Conditional Access policies; tested MFA for a non-privileged user account; verified passphrase policy for privileged accounts.</t>
  </si>
  <si>
    <t xml:space="preserve">Azure AD password policy export; Conditional Access policy list; MFA enrollment report; privileged account passphrase standard</t>
  </si>
  <si>
    <t xml:space="preserve">Azure AD enforces: 16-character minimum for all users; complexity enabled; 12-password history; 90-day maximum for non-privileged accounts. MFA enforced via Conditional Access for all logins to Ontario.ca admin portal and Azure management plane. MFA enrollment: 98.7% of eligible accounts. 37 accounts (1.3%) not yet enrolled | all are recently onboarded staff within their 14-day MFA enrollment grace period. Privileged accounts use 24-character passphrase standard (GO-ITS 25.0 compliant).</t>
  </si>
  <si>
    <t xml:space="preserve">Password policy exceeds GO-ITS 25.0 minimum requirements. MFA enrollment gap is within the permitted grace period and not a nonconformity.</t>
  </si>
  <si>
    <t xml:space="preserve">No corrective action required. Monitor MFA enrollment completion | follow up on any accounts still not enrolled after 14-day grace period.</t>
  </si>
  <si>
    <t xml:space="preserve">GO-ITS 25.0 s.4.3; Ontario MFA Standard</t>
  </si>
  <si>
    <t xml:space="preserve">WP-IAM-003</t>
  </si>
  <si>
    <t xml:space="preserve">GT-IAM-04</t>
  </si>
  <si>
    <t xml:space="preserve">A.5.18</t>
  </si>
  <si>
    <t xml:space="preserve">Access Rights | Least Privilege and Role-Based Access Control</t>
  </si>
  <si>
    <t xml:space="preserve">Reviewed RBAC model for Ontario.ca platform; sampled 10 privileged accounts for business justification and approval; reviewed separation of duties matrix; tested access of non-privileged test account.</t>
  </si>
  <si>
    <t xml:space="preserve">RBAC role matrix (v6.1, Mar 2026); privileged account register (n=47); access justification approvals (n=10 sample); SOD matrix</t>
  </si>
  <si>
    <t xml:space="preserve">RBAC model defines 23 roles across 6 access tiers. All 10 sampled privileged accounts have documented business justifications approved by the CISO or designated deputy. Separation of duties matrix confirmed | platform administrators cannot modify audit logs. One finding: the 'Ministry Integration Admin' role (assigned to 8 ministry liaison staff) grants write access to 3 API endpoint configurations that are outside the scope of their documented job function. The role was designed for a broader function in 2023 and has not been reviewed since integration scope was reduced.</t>
  </si>
  <si>
    <t xml:space="preserve">Role definition reviews are conducted annually but the Ministry Integration Admin role was excluded from the 2025 annual review because it was flagged as 'under redefinition' | a flag that was never cleared. The role has not been reviewed for 2.5 years.</t>
  </si>
  <si>
    <t xml:space="preserve">In Ontario government, least-privilege is a mandatory control under GO-ITS 25.0. Excessive write access by ministry staff to API configurations creates a risk of unauthorized changes to citizen-facing services | a reputational and operational risk for the provincial government.</t>
  </si>
  <si>
    <t xml:space="preserve">Review and redefine Ministry Integration Admin role within 30 days | remove write access to API configurations not required by current ministry liaison function. Implement quarterly role review flag expiry | any role marked 'under redefinition' for more than 60 days must be reviewed. Target: June 15, 2026.</t>
  </si>
  <si>
    <t xml:space="preserve">2026-06-15</t>
  </si>
  <si>
    <t xml:space="preserve">GO-ITS 25.0 s.4.2; Treasury Board Directive</t>
  </si>
  <si>
    <t xml:space="preserve">WP-IAM-004</t>
  </si>
  <si>
    <t xml:space="preserve">GT-IAM-05</t>
  </si>
  <si>
    <t xml:space="preserve">A.8.2</t>
  </si>
  <si>
    <t xml:space="preserve">Privileged Access Management | CyberArk PAM Implementation</t>
  </si>
  <si>
    <t xml:space="preserve">Reviewed CyberArk PAM configuration; verified all privileged accounts are vaulted; tested session recording for a privileged SSH session; reviewed privileged account review cadence.</t>
  </si>
  <si>
    <t xml:space="preserve">CyberArk vault inventory; privileged account register; session recording test (SSH); quarterly privileged review records</t>
  </si>
  <si>
    <t xml:space="preserve">CyberArk PAM vaults 47 privileged accounts. All accounts verified present in vault. Session recording enabled for all privileged sessions | tested SSH session to production server; recording confirmed in CyberArk session management. Quarterly privileged account reviews conducted: last review March 2026. One finding: 3 'break-glass' emergency accounts exist outside CyberArk | documented in a separate register held by the CISO and Deputy Minister IT. These accounts have no session recording and no dual-person control for access. They exist for genuine emergency scenarios but have not been accessed or reviewed in 18 months.</t>
  </si>
  <si>
    <t xml:space="preserve">Break-glass accounts were created at platform launch as a precaution and documented in the CISO register. ISO 27001:2022 A.5.18 requires privileged access to be controlled and reviewed | the break-glass accounts are excluded from the standard PAM controls and have no review mechanism.</t>
  </si>
  <si>
    <t xml:space="preserve">Ontario government break-glass accounts are referenced in GO-ITS 25.0 as requiring specific controls: dual-person access, session logging, and quarterly review. The current break-glass accounts meet the dual-person requirement (CISO and Deputy Minister IT both required) but lack session logging and quarterly review.</t>
  </si>
  <si>
    <t xml:space="preserve">Implement session logging for break-glass accounts via a dedicated CyberArk safe with restricted access. Add break-glass account review to quarterly privileged account review agenda. Document last access date and confirm accounts have not been used since creation. Target: June 30, 2026.</t>
  </si>
  <si>
    <t xml:space="preserve">CISO</t>
  </si>
  <si>
    <t xml:space="preserve">GO-ITS 25.0 s.4.4; ISO 27001:2022 A.5.18</t>
  </si>
  <si>
    <t xml:space="preserve">WP-IAM-005</t>
  </si>
  <si>
    <t xml:space="preserve">GT-IAM-06</t>
  </si>
  <si>
    <t xml:space="preserve">A.8.3</t>
  </si>
  <si>
    <t xml:space="preserve">Access Revocation | Semi-Annual Access Review</t>
  </si>
  <si>
    <t xml:space="preserve">Reviewed last two semi-annual access review records; sampled 20 user accounts from platform access list against current HR records; verified timelines and approver sign-offs.</t>
  </si>
  <si>
    <t xml:space="preserve">Access review records (Nov 2025 and May 2026); platform user list (n=2,847); HR active employee extract (May 20, 2026); access review approval emails</t>
  </si>
  <si>
    <t xml:space="preserve">Semi-annual access review completed May 12, 2026 | within cycle. Previous review November 2025 | within cycle. Both reviews approved by CISO. Sample of 20 accounts: 19 confirmed as current active employees or active contractors with valid access justification. 1 account (j.beaumont@govtech.on.ca | Ministry of Health liaison) shows the account holder transferred to a new ministry role on February 15, 2026 | 86 days before the review. The May 2026 review did not flag this account for access change because the reviewer used a role description from 2024 that had not been updated to reflect the new ministry assignment.</t>
  </si>
  <si>
    <t xml:space="preserve">Access review procedure does not cross-reference current HR role against platform access entitlements in an automated way. Reviewers manually match account holders to HR records but role changes that do not result in a department change are not flagged as requiring access review.</t>
  </si>
  <si>
    <t xml:space="preserve">A ministry liaison changing roles within the same ministry is a common occurrence in Ontario government and represents a specific access review gap. Citizen-facing platform access entitlements must reflect current job function | not historical role descriptions.</t>
  </si>
  <si>
    <t xml:space="preserve">Update access review procedure to include cross-reference of current HR role title (not just employment status) against access entitlements. Immediately review j.beaumont access and update to reflect current Ministry of Health role | or revoke if current role does not require platform access. Target: June 7, 2026.</t>
  </si>
  <si>
    <t xml:space="preserve">2026-06-07</t>
  </si>
  <si>
    <t xml:space="preserve">GO-ITS 25.0 s.4.1; A.8.3</t>
  </si>
  <si>
    <t xml:space="preserve">WP-IAM-006</t>
  </si>
  <si>
    <t xml:space="preserve">GT-IAM-07</t>
  </si>
  <si>
    <t xml:space="preserve">A.8.4</t>
  </si>
  <si>
    <t xml:space="preserve">Privileged Access | Separation of Duties for Production Access</t>
  </si>
  <si>
    <t xml:space="preserve">Reviewed separation of duties matrix for production environment; tested whether a single individual can both deploy code and approve changes; verified dual-sign-off requirement in Azure DevOps.</t>
  </si>
  <si>
    <t xml:space="preserve">SOD matrix (v3.1, Feb 2026); Azure DevOps pipeline configuration; production deployment approval records (n=5 sampled deployments)</t>
  </si>
  <si>
    <t xml:space="preserve">SOD matrix confirms no single individual can both develop and approve code for production deployment. Azure DevOps pipeline requires 2 approvals from different teams (Dev and Ops) before production release. 5 sampled deployments all have 2 distinct approvers. Audit confirmed that production database access requires a separate approval from the DBA team | developers do not have direct production DB write access. This control is operating effectively.</t>
  </si>
  <si>
    <t xml:space="preserve">SOD in government digital services is a foundational control under Treasury Board Directive. The Azure DevOps dual-approval pipeline is a strong technical enforcement mechanism.</t>
  </si>
  <si>
    <t xml:space="preserve">No corrective action required. Confirm SOD matrix is reviewed annually and is current.</t>
  </si>
  <si>
    <t xml:space="preserve">Director, Platform Engineering</t>
  </si>
  <si>
    <t xml:space="preserve">Treasury Board Directive; A.8.4</t>
  </si>
  <si>
    <t xml:space="preserve">WP-IAM-007</t>
  </si>
  <si>
    <t xml:space="preserve">Change Management Domain</t>
  </si>
  <si>
    <t xml:space="preserve">GT-CHG-01</t>
  </si>
  <si>
    <t xml:space="preserve">A.8.32</t>
  </si>
  <si>
    <t xml:space="preserve">Change Management | Formal Change Process for Production</t>
  </si>
  <si>
    <t xml:space="preserve">Reviewed Change Management Policy; sampled 10 change requests from last 90 days; verified CAB approval, testing evidence, and rollback plan for each; checked for any changes deployed without CAB approval.</t>
  </si>
  <si>
    <t xml:space="preserve">Change Management Policy v3.2 (Jan 2026); ServiceNow change records (n=10 sample, Feb to May 2026); CAB meeting minutes (Feb, Mar, Apr 2026)</t>
  </si>
  <si>
    <t xml:space="preserve">Change Management Policy v3.2 is current and CISO-approved. 10 sampled changes: 8 have full CAB approval, security review, UAT sign-off, and rollback plan. 2 changes (CHG-2026-0447 and CHG-2026-0512) are classified as 'Standard Changes' | a pre-approved category that bypasses CAB review. Both changes involved updates to citizen authentication flows (password reset and session timeout modifications). The Standard Change pre-approval template for authentication changes was approved in 2022 and has not been reviewed since | it pre-dates the current MFA implementation and does not account for the security implications of session management changes in the current architecture.</t>
  </si>
  <si>
    <t xml:space="preserve">Standard Change pre-approval templates are reviewed annually for most categories, but authentication-related templates were flagged as 'stable' and excluded from the 2025 annual template review. The authentication architecture changed significantly in 2023 (MFA rollout) and the pre-approval criteria no longer accurately reflect the security risk of these changes.</t>
  </si>
  <si>
    <t xml:space="preserve">In Ontario government, changes to citizen authentication services are high-sensitivity | a misconfiguration could lock out citizens from health card or drivers' licence services. The Standard Change category for authentication changes should require mandatory security review given the current MFA architecture.</t>
  </si>
  <si>
    <t xml:space="preserve">Remove authentication flow changes from Standard Change category | reclassify as Normal Change requiring CAB review and security sign-off. Update all Standard Change templates as part of annual review (due August 2026). Target reclassification: June 15, 2026.</t>
  </si>
  <si>
    <t xml:space="preserve">GO-ITS 25.30; A.8.32</t>
  </si>
  <si>
    <t xml:space="preserve">WP-CHG-001</t>
  </si>
  <si>
    <t xml:space="preserve">GT-CHG-02</t>
  </si>
  <si>
    <t xml:space="preserve">A.8.29</t>
  </si>
  <si>
    <t xml:space="preserve">Secure Development | Security Testing in SDLC</t>
  </si>
  <si>
    <t xml:space="preserve">Reviewed SDLC security policy; sampled 5 recent production releases; confirmed SAST (SonarQube) scan, security code review, and DAST scan completion for each; reviewed AppSec team sign-off records.</t>
  </si>
  <si>
    <t xml:space="preserve">SDLC Security Policy v2.1 (Nov 2025); GitHub Actions CI/CD pipeline configs; SonarQube scan reports (n=5 releases); DAST scan reports (OWASP ZAP); AppSec sign-off tickets</t>
  </si>
  <si>
    <t xml:space="preserve">SDLC Security Policy mandates: SAST for all commits, security code review for PRs touching citizen data, DAST scan pre-production for major releases. 5 sampled releases: 4 have complete SAST, code review, and DAST evidence. Release ONT-REL-2026-089 (April 2, 2026 | new OSAP application module) has SAST and code review but no DAST scan evidence. The AppSec team confirms the DAST scan was conducted but the automated report upload to the evidence repository failed due to a ZAP integration issue | the scan result exists in the ZAP instance but was not archived. AppSec team manually confirmed the scan found no Critical or High findings before go-live.</t>
  </si>
  <si>
    <t xml:space="preserve">DAST scan results are automatically uploaded to the evidence repository via a GitHub Actions workflow. The ZAP integration failed silently for this release | the pipeline showed green because the upload step did not fail hard on upload error, it only logged a warning. The failure was not caught in the post-deployment review.</t>
  </si>
  <si>
    <t xml:space="preserve">Ontario government citizen-facing applications must have documented security testing evidence | particularly for modules handling financial aid data (OSAP). Missing evidence, even if the test was conducted, is an audit finding because it cannot be demonstrated to the certification body.</t>
  </si>
  <si>
    <t xml:space="preserve">Immediately archive the OSAP release DAST scan results from the ZAP instance to the evidence repository. Fix GitHub Actions ZAP integration to fail hard (not just warn) on upload error. Conduct post-deployment security review for ONT-REL-2026-089. Target: June 7, 2026.</t>
  </si>
  <si>
    <t xml:space="preserve">Director, AppSec</t>
  </si>
  <si>
    <t xml:space="preserve">GO-ITS 25.30; OWASP ASVS v4; A.8.29</t>
  </si>
  <si>
    <t xml:space="preserve">WP-CHG-002</t>
  </si>
  <si>
    <t xml:space="preserve">GT-CHG-03</t>
  </si>
  <si>
    <t xml:space="preserve">A.8.25</t>
  </si>
  <si>
    <t xml:space="preserve">Secure Development Lifecycle | Threat Modelling for New Features</t>
  </si>
  <si>
    <t xml:space="preserve">Reviewed threat modelling policy; sampled 3 new feature releases in last 6 months; confirmed threat model existence, STRIDE methodology application, and security architecture review.</t>
  </si>
  <si>
    <t xml:space="preserve">Threat modelling policy (Nov 2025); threat model documents (n=3 sample); STRIDE worksheets; Security Architecture Review Board (SARB) meeting minutes</t>
  </si>
  <si>
    <t xml:space="preserve">Threat modelling policy mandates STRIDE analysis for all new features accessing citizen PII. 3 sampled features: all 3 have documented STRIDE threat models. Threat model for the new Digital ID verification feature (launched March 2026) is particularly complete | includes adversarial analysis for synthetic identity fraud and credential stuffing. SARB reviewed and approved all 3 threat models. No findings.</t>
  </si>
  <si>
    <t xml:space="preserve">Threat modelling maturity is a strength for GovTech Ontario. The Digital ID threat model is at the level expected for a critical government digital identity service.</t>
  </si>
  <si>
    <t xml:space="preserve">No corrective action required. Share Digital ID threat model as a reference template for future high-risk features.</t>
  </si>
  <si>
    <t xml:space="preserve">GO-ITS 25.30; STRIDE; A.8.25</t>
  </si>
  <si>
    <t xml:space="preserve">WP-CHG-003</t>
  </si>
  <si>
    <t xml:space="preserve">GT-CHG-04</t>
  </si>
  <si>
    <t xml:space="preserve">A.8.26</t>
  </si>
  <si>
    <t xml:space="preserve">Application Security | Vulnerability Management for Web Applications</t>
  </si>
  <si>
    <t xml:space="preserve">Reviewed web application vulnerability scan cadence; sampled Burp Suite Enterprise scan reports for Ontario.ca portal; verified critical and high finding remediation SLAs.</t>
  </si>
  <si>
    <t xml:space="preserve">Burp Suite Enterprise scan reports (quarterly, last 4 quarters); remediation tracking dashboard (Jira); DAST SLA policy</t>
  </si>
  <si>
    <t xml:space="preserve">Quarterly DAST scans conducted via Burp Suite Enterprise for Ontario.ca portal (all citizen-facing endpoints). Last 4 quarters: Q2 2025 (0 Critical, 2 High), Q3 2025 (0 Critical, 1 High), Q4 2025 (0 Critical, 0 High), Q1 2026 (1 Critical, 1 High). Q1 2026 Critical finding: SQL injection vulnerability in the business permit search endpoint. Remediation SLA: 72 hours for Critical. Finding was remediated in 58 hours | within SLA. High finding: outdated TLS cipher suite on 2 API endpoints | remediated in 4 days (within 7-day SLA). Retest report confirms both findings resolved.</t>
  </si>
  <si>
    <t xml:space="preserve">A SQL injection finding on a government citizen portal is inherently high-risk | a successful exploit could expose millions of citizen records. The 58-hour remediation is commendable and demonstrates effective vulnerability management.</t>
  </si>
  <si>
    <t xml:space="preserve">No corrective action required. Document Q1 2026 Critical finding resolution as a positive example of effective vulnerability response in the annual ISMS review.</t>
  </si>
  <si>
    <t xml:space="preserve">GO-ITS 25.30; OWASP Top 10; A.8.26</t>
  </si>
  <si>
    <t xml:space="preserve">WP-CHG-004</t>
  </si>
  <si>
    <t xml:space="preserve">GT-CHG-05</t>
  </si>
  <si>
    <t xml:space="preserve">A.8.27</t>
  </si>
  <si>
    <t xml:space="preserve">Secure System Architecture | CDE Network Segmentation and DMZ</t>
  </si>
  <si>
    <t xml:space="preserve">Reviewed network architecture diagram; verified citizen data processing occurs only in protected network zones; confirmed internet-facing components are isolated in DMZ; tested traffic flows between zones.</t>
  </si>
  <si>
    <t xml:space="preserve">Network architecture diagram v11 (Apr 2026); Azure Network Security Group rules; DMZ policy; penetration test report (Jan 2026) | segmentation section</t>
  </si>
  <si>
    <t xml:space="preserve">Network architecture diagram is current and reviewed by CISO quarterly. Citizen data processing occurs exclusively in Azure Canada East subnets classified as 'PROTECTED B' zone. Internet-facing web application tier sits in DMZ subnet with explicit NSG rules denying all traffic from DMZ to PROTECTED B except required API calls on specific ports. January 2026 penetration test (by eSentire) confirmed no unintended paths between DMZ and PROTECTED B zones. This control is well-designed and operating effectively.</t>
  </si>
  <si>
    <t xml:space="preserve">Network architecture is sound. Opportunity for Improvement: the network architecture diagram is maintained in Visio and stored in SharePoint. There is no automated process to ensure the diagram stays current with infrastructure changes | the process relies on manual diagram updates after each infrastructure change request.</t>
  </si>
  <si>
    <t xml:space="preserve">Strong network segmentation architecture | a model for government digital services. Consider implementing infrastructure-as-code diagram generation to ensure network diagrams automatically reflect deployed infrastructure state. This would eliminate diagram drift over time.</t>
  </si>
  <si>
    <t xml:space="preserve">No corrective action required. Consider adopting Terraform-generated architecture diagrams as an operational improvement for the next annual ISMS review.</t>
  </si>
  <si>
    <t xml:space="preserve">Director, Cloud Infrastructure</t>
  </si>
  <si>
    <t xml:space="preserve">GO-ITS 25.20; A.8.27</t>
  </si>
  <si>
    <t xml:space="preserve">WP-CHG-005</t>
  </si>
  <si>
    <t xml:space="preserve">Logging and Monitoring Domain</t>
  </si>
  <si>
    <t xml:space="preserve">GT-LOG-01</t>
  </si>
  <si>
    <t xml:space="preserve">A.8.15</t>
  </si>
  <si>
    <t xml:space="preserve">Audit Logging | Completeness of Log Coverage for Citizen Data Events</t>
  </si>
  <si>
    <t xml:space="preserve">Reviewed Splunk SIEM log source inventory; verified all citizen-data-touching systems are onboarded; checked log field completeness for user ID, event type, timestamp, source IP, and data accessed; sampled 25 log entries.</t>
  </si>
  <si>
    <t xml:space="preserve">Splunk log source inventory (n=84 sources); sample log entries (n=25); log completeness matrix; SIEM onboarding checklist</t>
  </si>
  <si>
    <t xml:space="preserve">Splunk ingests logs from 84 sources including Azure AD, Azure Application Gateway, Ontario.ca app servers, API Management, and all 14 ministry integration middleware instances. 25 sampled log entries: 23 complete with all required fields. 2 log entries from the OSAP integration middleware (SRV-OSAP-03 and SRV-OSAP-04) are missing the 'citizen_id' field | these servers were recently upgraded to a new middleware version and the logging configuration for the citizen_id field was not migrated as part of the upgrade. The citizen_id field is required under FIPPA s.10 audit trail obligations for government systems accessing personal information.</t>
  </si>
  <si>
    <t xml:space="preserve">The middleware upgrade (completed April 14, 2026) included a logging configuration migration checklist, but the citizen_id field was not included in the checklist because it was added to the logging standard after the checklist was last updated. The upgrade team followed the checklist correctly but the checklist itself was incomplete.</t>
  </si>
  <si>
    <t xml:space="preserve">Under FIPPA s.10, Ontario government systems must maintain audit trails for access to personal information. Missing citizen_id in logs means access to student financial aid data (OSAP) cannot be attributed to specific citizens | a FIPPA audit trail gap.</t>
  </si>
  <si>
    <t xml:space="preserve">Immediately update logging configuration on SRV-OSAP-03 and SRV-OSAP-04 to include citizen_id field. Update middleware upgrade logging checklist to include citizen_id as a mandatory field. Conduct retroactive log analysis for April 14 to May 25, 2026 to assess whether any anomalous access occurred during the gap period. Target: June 7, 2026.</t>
  </si>
  <si>
    <t xml:space="preserve">SOC Manager / Director, Platform Engineering</t>
  </si>
  <si>
    <t xml:space="preserve">FIPPA s.10; GO-ITS 25.50; A.8.15</t>
  </si>
  <si>
    <t xml:space="preserve">WP-LOG-001</t>
  </si>
  <si>
    <t xml:space="preserve">GT-LOG-02</t>
  </si>
  <si>
    <t xml:space="preserve">A.8.16</t>
  </si>
  <si>
    <t xml:space="preserve">Monitoring | Real-Time Detection of Anomalous Citizen Data Access</t>
  </si>
  <si>
    <t xml:space="preserve">Reviewed Splunk alerting rules for citizen data access anomalies; tested alert triggering with a simulated bulk access event; reviewed alert response SLA and SOC escalation procedure.</t>
  </si>
  <si>
    <t xml:space="preserve">Splunk alert rule inventory (n=47 rules); alert test evidence; SOC escalation procedure v2.0; SOC response time records (last 30 days)</t>
  </si>
  <si>
    <t xml:space="preserve">47 Splunk alert rules cover citizen data anomalies. Rules include: bulk citizen record access (&gt;500 records in 1 hour), access to Protected B data from non-Ontario IP, privilege escalation, and after-hours access to OSAP data. Alert test (May 20, 2026): bulk access simulation triggered alert in 4 minutes 12 seconds | within the 5-minute SLA in SOC procedure. SOC response records (last 30 days): 23 alerts triggered; 21 responded to within SLA; 2 alerts on May 7 (a Saturday) exceeded SLA by 18 and 31 minutes respectively | the SOC was understaffed due to unplanned leave and the backup coverage procedure was not invoked.</t>
  </si>
  <si>
    <t xml:space="preserve">SOC staffing coverage for weekends and holidays is managed through a rotation schedule. On May 7, the scheduled analyst called in sick and the backup analyst was not notified promptly | the SOC lead was not alerted until 47 minutes after shift start. The coverage procedure exists but requires the sick analyst to notify the backup themselves, which did not happen.</t>
  </si>
  <si>
    <t xml:space="preserve">Ontario.ca serves 8.3M citizens including time-sensitive services (drivers' licence renewals, health card applications). A delayed SOC response on a Saturday to an anomalous citizen data access event could mean a significant period of undetected access to personal information | a FIPPA risk.</t>
  </si>
  <si>
    <t xml:space="preserve">Update SOC coverage procedure to remove dependency on sick analyst self-notification. Implement automated on-call notification: if analyst does not check-in by shift start, SOC lead is automatically paged. Add public holiday coverage to rotation schedule. Target: June 15, 2026.</t>
  </si>
  <si>
    <t xml:space="preserve">SOC Manager</t>
  </si>
  <si>
    <t xml:space="preserve">GO-ITS 25.50; FIPPA s.10; A.8.16</t>
  </si>
  <si>
    <t xml:space="preserve">WP-LOG-002</t>
  </si>
  <si>
    <t xml:space="preserve">GT-LOG-03</t>
  </si>
  <si>
    <t xml:space="preserve">A.8.17</t>
  </si>
  <si>
    <t xml:space="preserve">Log Integrity | Protection from Tampering and Unauthorized Deletion</t>
  </si>
  <si>
    <t xml:space="preserve">Verified log integrity controls; confirmed audit logs are immutable; tested whether a platform administrator can delete or modify logs; reviewed log retention settings.</t>
  </si>
  <si>
    <t xml:space="preserve">Azure Monitor immutable log configuration; Splunk index settings; Azure Storage WORM configuration; log retention policy</t>
  </si>
  <si>
    <t xml:space="preserve">Azure Monitor logs are configured with immutable storage (WORM) | once written, logs cannot be modified or deleted for the retention period (1 year online, 6 years archived). Splunk indexes are write-only for all accounts except the Splunk admin role | which is held by only 2 individuals and requires CyberArk session recording. Tested with a non-privileged admin account: log deletion attempt returned 403 Forbidden. Log retention policy: 1 year immediately available, 6 years archived in Azure cold storage | aligned with Ontario Archives Act retention schedule for government records.</t>
  </si>
  <si>
    <t xml:space="preserve">Immutable log storage is a mandatory control under GO-ITS 25.50. The WORM configuration is correctly implemented and the 7-year total retention meets Ontario Archives Act requirements for government IT audit records.</t>
  </si>
  <si>
    <t xml:space="preserve">No corrective action required. Confirm WORM configuration is included in the annual Azure infrastructure review.</t>
  </si>
  <si>
    <t xml:space="preserve">SOC Manager / Director, Cloud Infrastructure</t>
  </si>
  <si>
    <t xml:space="preserve">GO-ITS 25.50; Ontario Archives Act; A.8.17</t>
  </si>
  <si>
    <t xml:space="preserve">WP-LOG-003</t>
  </si>
  <si>
    <t xml:space="preserve">GT-LOG-04</t>
  </si>
  <si>
    <t xml:space="preserve">A.8.20</t>
  </si>
  <si>
    <t xml:space="preserve">Log Review | Daily Review of Citizen Data Access and Security Events</t>
  </si>
  <si>
    <t xml:space="preserve">Reviewed daily log review SOP; sampled 15 daily review records from last 30 days; confirmed completion time and analyst sign-off; reviewed escalation records.</t>
  </si>
  <si>
    <t xml:space="preserve">Daily log review SOP v3.0 (Jan 2026); ServiceNow daily review records (n=15, May 1 to 20, 2026); escalation records</t>
  </si>
  <si>
    <t xml:space="preserve">Daily log review SOP requires SOC analyst to complete Splunk dashboard review and sign off in ServiceNow by 9:00 AM. 15 sampled records: 13 completed before 9:00 AM. 2 records (May 9 and May 16 | both Saturdays) completed at 10:23 AM and 9:51 AM respectively. Both delays attributable to the same SOC coverage gap identified in GT-LOG-02 (May 7 SOC staffing issue). No escalations were required during the sample period | no anomalies identified. This finding is linked to GT-LOG-02 and has the same root cause.</t>
  </si>
  <si>
    <t xml:space="preserve">Same root cause as GT-LOG-02 | SOC weekend coverage dependency on sick analyst self-notification. The daily review SLA miss on May 9 is a consequence of the same structural coverage gap.</t>
  </si>
  <si>
    <t xml:space="preserve">Government citizen data access should be reviewed daily regardless of day of week | FIPPA s.10 audit trail obligations do not have weekend exceptions.</t>
  </si>
  <si>
    <t xml:space="preserve">Covered by GT-LOG-02 corrective action. Once automated on-call notification is implemented, weekend daily review SLA compliance should be maintained. Target: June 15, 2026.</t>
  </si>
  <si>
    <t xml:space="preserve">GO-ITS 25.50; FIPPA s.10; A.8.20</t>
  </si>
  <si>
    <t xml:space="preserve">WP-LOG-004</t>
  </si>
  <si>
    <t xml:space="preserve">Cryptography Domain</t>
  </si>
  <si>
    <t xml:space="preserve">GT-CRY-01</t>
  </si>
  <si>
    <t xml:space="preserve">A.8.24</t>
  </si>
  <si>
    <t xml:space="preserve">Cryptography | Encryption of Citizen Personal Information at Rest and in Transit</t>
  </si>
  <si>
    <t xml:space="preserve">Verified encryption of citizen PII at rest in Azure SQL and Blob Storage; confirmed TLS version enforcement; reviewed key management configuration.</t>
  </si>
  <si>
    <t xml:space="preserve">Azure SQL Transparent Data Encryption config; Azure Storage encryption settings; TLS configuration (Azure Application Gateway); key management documentation</t>
  </si>
  <si>
    <t xml:space="preserve">Azure SQL: TDE enabled with customer-managed keys in Azure Key Vault (FIPS 140-2 validated HSM). Azure Blob Storage: encrypted with AES-256, customer-managed keys. TLS: Application Gateway enforces TLS 1.3 minimum for all citizen-facing endpoints. Key rotation: annual rotation policy with automated Azure Key Vault rotation configured. Last rotation: November 2025. All configurations meet Ontario Encryption Standard (GO-ITS 25.20) requirements.</t>
  </si>
  <si>
    <t xml:space="preserve">PROTECTED B data must be encrypted at rest using AES-256 and in transit using TLS 1.2 minimum under GO-ITS 25.20. The current implementation exceeds the minimum | TLS 1.3 is enforced and key rotation is automated.</t>
  </si>
  <si>
    <t xml:space="preserve">No corrective action required.</t>
  </si>
  <si>
    <t xml:space="preserve">GO-ITS 25.20; Ontario Encryption Standard; A.8.24</t>
  </si>
  <si>
    <t xml:space="preserve">WP-CRY-001</t>
  </si>
  <si>
    <t xml:space="preserve">GT-CRY-02</t>
  </si>
  <si>
    <t xml:space="preserve">Cryptographic Key Management | Key Lifecycle and Custodian Controls</t>
  </si>
  <si>
    <t xml:space="preserve">Reviewed key management policy; identified all encryption keys protecting PROTECTED B citizen data; confirmed key custodian designations; verified key rotation records and access controls.</t>
  </si>
  <si>
    <t xml:space="preserve">Key management policy v2.1 (Mar 2026); Azure Key Vault audit log; key custodian designation records (n=4); key rotation schedule; CyberArk key custodian access log</t>
  </si>
  <si>
    <t xml:space="preserve">Key management policy is CISO-approved and current. 4 designated key custodians | all CISO-approved. Azure Key Vault is the single key management system for all PROTECTED B citizen data keys. Key custodian access to Key Vault is gated through CyberArk PAM with session recording. Annual key rotation is automated. One finding: the key management policy specifies that a key destruction record must be generated for any key that is rotated out | the previous key must be formally destroyed and a destruction certificate issued. Review of the November 2025 key rotation confirms the new key was activated but the destruction certificate for the previous key was not generated | the automated rotation process does not include a destruction certificate step.</t>
  </si>
  <si>
    <t xml:space="preserve">Azure Key Vault's automated rotation silently deprecates and soft-deletes the previous key version without generating a destruction certificate. The key management policy pre-dates the automated rotation implementation and was not updated to reflect that destruction certificates are no longer generated automatically.</t>
  </si>
  <si>
    <t xml:space="preserve">Under Ontario's IT Security Policy and GO-ITS 25.20, cryptographic key destruction must be documented | particularly for keys protecting PROTECTED B government data. This is both an ISO 27001 A.8.25 requirement and an Ontario government regulatory obligation.</t>
  </si>
  <si>
    <t xml:space="preserve">Generate retroactive destruction certificates for all keys rotated in the last 2 years (November 2024 and November 2025 rotations). Update key management policy to reflect that Azure Key Vault automated rotation triggers a manual destruction certificate step. Implement a quarterly key management review checklist. Target: June 30, 2026.</t>
  </si>
  <si>
    <t xml:space="preserve">Director, Cloud Infrastructure / CISO</t>
  </si>
  <si>
    <t xml:space="preserve">GO-ITS 25.20; Ontario Encryption Standard; A.8.25</t>
  </si>
  <si>
    <t xml:space="preserve">WP-CRY-002</t>
  </si>
  <si>
    <t xml:space="preserve">Supplier Risk Domain</t>
  </si>
  <si>
    <t xml:space="preserve">GT-SUP-01</t>
  </si>
  <si>
    <t xml:space="preserve">A.5.19</t>
  </si>
  <si>
    <t xml:space="preserve">Supplier Risk Assessment | Onboarding and Security Assessment for IT Vendors</t>
  </si>
  <si>
    <t xml:space="preserve">Reviewed supplier risk management policy; sampled 5 IT vendors; confirmed security assessment completion and contract security clauses for each; verified Vendor of Record compliance.</t>
  </si>
  <si>
    <t xml:space="preserve">Supplier Risk Policy v2.0 (Oct 2025); Ontario Vendor of Record (VOR) process records; vendor security assessments (n=5 sample); vendor contract security schedule</t>
  </si>
  <si>
    <t xml:space="preserve">Supplier Risk Policy mandates security assessment before onboarding any IT vendor. Ontario government vendors must be on an active Vendor of Record. 5 sampled vendors: 4 completed security assessments with documented risk ratings and CISO sign-off; contracts include Ontario government standard IT security schedule. 1 vendor (DataStream Analytics | data analytics platform used by the Ontario Digital Service performance team) completed a security assessment in January 2024 | now 16 months ago. Vendor was onboarded for a 12-month pilot and continued into a second year without a reassessment. The security assessment is overdue for its annual renewal.</t>
  </si>
  <si>
    <t xml:space="preserve">DataStream Analytics was initially assessed for a 12-month pilot. The pilot was extended without triggering a reassessment | the extension was processed as a contract amendment rather than a new engagement, which bypassed the reassessment trigger in the supplier onboarding workflow.</t>
  </si>
  <si>
    <t xml:space="preserve">Ontario government IT vendors handling provincial data must be reassessed annually under Treasury Board Directive. DataStream Analytics has access to Ontario.ca performance analytics data | which includes aggregated citizen interaction data classified as PROTECTED A.</t>
  </si>
  <si>
    <t xml:space="preserve">Conduct DataStream Analytics security reassessment within 30 days. Update supplier management process to trigger annual reassessment for all active vendors regardless of contract type (amendment vs new engagement). Target: June 30, 2026.</t>
  </si>
  <si>
    <t xml:space="preserve">Manager, Vendor Risk</t>
  </si>
  <si>
    <t xml:space="preserve">Treasury Board Directive; GO-ITS 25.0; A.5.19</t>
  </si>
  <si>
    <t xml:space="preserve">WP-SUP-001</t>
  </si>
  <si>
    <t xml:space="preserve">GT-SUP-02</t>
  </si>
  <si>
    <t xml:space="preserve">A.5.20</t>
  </si>
  <si>
    <t xml:space="preserve">Supplier Agreements | Security Requirements in IT Vendor Contracts</t>
  </si>
  <si>
    <t xml:space="preserve">Reviewed contract security schedule for 5 sampled vendors; verified Ontario government standard security clauses are present; confirmed right-to-audit clause and incident notification requirements.</t>
  </si>
  <si>
    <t xml:space="preserve">Vendor contracts (n=5 sample); Ontario government standard IT contract security schedule (v6.0, 2025); right-to-audit clause verification</t>
  </si>
  <si>
    <t xml:space="preserve">All 5 sampled vendor contracts include the Ontario government standard IT security schedule (v6.0, 2025) covering: data handling requirements, breach notification within 24 hours, right-to-audit, and security control self-assessment obligations. Ontario's standard schedule is developed by Management Board Secretariat | GovTech Ontario uses it without modification. This is a mature and consistent practice.</t>
  </si>
  <si>
    <t xml:space="preserve">All vendor contracts use the standard Ontario IT security schedule. Opportunity for Improvement: the standard schedule requires vendors to self-report security incidents within 24 hours but does not require vendors to conduct annual penetration testing or provide SOC 2 reports. For high-risk vendors handling PROTECTED B data, a SOC 2 or equivalent attestation requirement would strengthen assurance.</t>
  </si>
  <si>
    <t xml:space="preserve">For future high-risk vendor contracts (PROTECTED B data), consider adding a requirement for annual third-party security attestation (SOC 2, CSA STAR, or equivalent). This would provide assurance beyond self-reporting.</t>
  </si>
  <si>
    <t xml:space="preserve">No corrective action required for current contracts. Propose enhancement to Management Board Secretariat for next revision of Ontario standard IT security schedule.</t>
  </si>
  <si>
    <t xml:space="preserve">Treasury Board Directive; A.5.20</t>
  </si>
  <si>
    <t xml:space="preserve">WP-SUP-002</t>
  </si>
  <si>
    <t xml:space="preserve">GT-SUP-03</t>
  </si>
  <si>
    <t xml:space="preserve">A.5.21</t>
  </si>
  <si>
    <t xml:space="preserve">Supplier Risk | Third-Party Software Component Management</t>
  </si>
  <si>
    <t xml:space="preserve">Reviewed software composition analysis (SCA) process; sampled 3 recent releases for SCA scan evidence; verified open-source component vulnerability response SLA.</t>
  </si>
  <si>
    <t xml:space="preserve">SCA policy (embedded in SDLC policy); Dependabot scan records (GitHub); SCA scan reports (n=3 releases); open-source component vulnerability SLA</t>
  </si>
  <si>
    <t xml:space="preserve">SCA is integrated into the GitHub CI/CD pipeline via Dependabot and OWASP Dependency-Check. All 3 sampled releases have SCA scan reports with no Critical findings. Policy requires Critical open-source vulnerabilities to be remediated within 72 hours, High within 14 days. Last 6 months: 3 Critical OSS vulnerabilities identified | all remediated within 48 hours. One High OSS vulnerability (log4j 2.x fork dependency) open for 11 days | within SLA. No findings.</t>
  </si>
  <si>
    <t xml:space="preserve">Open-source component management is a strength. The log4j lineage dependency is a known category of risk in enterprise Java applications | the proactive monitoring demonstrates mature SCA practices.</t>
  </si>
  <si>
    <t xml:space="preserve">OWASP Dependency-Check; CISA KEV; A.5.21</t>
  </si>
  <si>
    <t xml:space="preserve">WP-SUP-003</t>
  </si>
  <si>
    <t xml:space="preserve">GT-SUP-04</t>
  </si>
  <si>
    <t xml:space="preserve">A.5.22</t>
  </si>
  <si>
    <t xml:space="preserve">Supplier Monitoring | Annual Review of Active IT Vendors</t>
  </si>
  <si>
    <t xml:space="preserve">Reviewed annual vendor review process; confirmed last review date; sampled 5 vendors for review completion; verified CISO sign-off.</t>
  </si>
  <si>
    <t xml:space="preserve">Annual vendor review records (Nov 2025); vendor register (n=23 active vendors); CISO sign-off record</t>
  </si>
  <si>
    <t xml:space="preserve">Annual vendor review completed November 2025 | CISO-approved. 23 active vendors reviewed. 5 sampled: all had current security assessment on file and VOR status confirmed. DataStream Analytics (GT-SUP-01) is the only vendor with an overdue reassessment | confirmed root cause is the contract amendment bypass. No other overdue vendors identified.</t>
  </si>
  <si>
    <t xml:space="preserve">Annual vendor review is well-managed. The DataStream Analytics gap (GT-SUP-01) is the only exception and is a process gap in the amendment workflow, not in the annual review itself.</t>
  </si>
  <si>
    <t xml:space="preserve">No corrective action required. The DataStream Analytics reassessment (GT-SUP-01 corrective action) will bring all vendors to current status.</t>
  </si>
  <si>
    <t xml:space="preserve">Treasury Board Directive; A.5.22</t>
  </si>
  <si>
    <t xml:space="preserve">WP-SUP-004</t>
  </si>
  <si>
    <t xml:space="preserve">ISO 27001:2022 | Nonconformity and OFI Tracker | GovTech Ontario | May 2026</t>
  </si>
  <si>
    <t xml:space="preserve">NC / OFI Ref</t>
  </si>
  <si>
    <t xml:space="preserve">Type</t>
  </si>
  <si>
    <t xml:space="preserve">Nonconformity / Observation</t>
  </si>
  <si>
    <t xml:space="preserve">ISO Clause</t>
  </si>
  <si>
    <t xml:space="preserve">Root Cause</t>
  </si>
  <si>
    <t xml:space="preserve">Corrective Action</t>
  </si>
  <si>
    <t xml:space="preserve">Evidence of Closure</t>
  </si>
  <si>
    <t xml:space="preserve">Owner</t>
  </si>
  <si>
    <t xml:space="preserve">Status</t>
  </si>
  <si>
    <t xml:space="preserve">Certification Impact</t>
  </si>
  <si>
    <t xml:space="preserve">NC-001</t>
  </si>
  <si>
    <t xml:space="preserve">Access review for j.beaumont@govtech.on.ca failed to identify that the account holder's role changed on February 15, 2026 | 86 days before the May 2026 review. The account retains access entitlements matching a 2024 role description that no longer reflects the current ministry assignment.</t>
  </si>
  <si>
    <t xml:space="preserve">Access review procedure cross-references employment status but not current HR role title. Role changes within the same ministry do not automatically trigger an access review.</t>
  </si>
  <si>
    <t xml:space="preserve">1. Immediately review and update j.beaumont access to reflect current Ministry of Health role or revoke if not required.
2. Update access review procedure to include current HR role title cross-reference (not just employment status).
3. Implement automated role-change notification from SAP SuccessFactors to IAM team.</t>
  </si>
  <si>
    <t xml:space="preserve">Updated access entitlements; revised access review SOP; SuccessFactors notification configuration evidence</t>
  </si>
  <si>
    <t xml:space="preserve">Open</t>
  </si>
  <si>
    <t xml:space="preserve">MAJOR NC: Must be closed within 90 days (by August 25, 2026) or certification may be suspended by BSI Group. Auditor will conduct remote verification of closure evidence.</t>
  </si>
  <si>
    <t xml:space="preserve">NC-002</t>
  </si>
  <si>
    <t xml:space="preserve">Contractor m.okonkwo@govtech.on.ca account was disabled 6 days after contract expiry (March 31, 2026) rather than on the contract end date. Root cause: SAP SuccessFactors does not trigger automatic offboarding for contractors whose fixed-term contract expires without a processed renewal.</t>
  </si>
  <si>
    <t xml:space="preserve">HR system only triggers offboarding when a termination is explicitly processed | fixed-term contract expiry is not treated as a termination event.</t>
  </si>
  <si>
    <t xml:space="preserve">1. Implement SAP SuccessFactors configuration to trigger automatic account disable on contractor end date.
2. Implement 30-day pre-expiry notification to manager and IAM team.
3. Conduct immediate review of all contractors with end dates in next 60 days to ensure controls are working.</t>
  </si>
  <si>
    <t xml:space="preserve">SuccessFactors configuration change evidence; 30-day notification test; contractor end-date review records</t>
  </si>
  <si>
    <t xml:space="preserve">Minor NC: Must be closed before next surveillance audit (May 2027). Closure evidence submitted to certification body by December 2026.</t>
  </si>
  <si>
    <t xml:space="preserve">NC-003</t>
  </si>
  <si>
    <t xml:space="preserve">Ministry Integration Admin role grants write access to 3 API endpoint configurations outside the scope of the documented job function. Role has not been reviewed in 2.5 years | excluded from 2025 annual review due to an uncleaned 'under redefinition' flag.</t>
  </si>
  <si>
    <t xml:space="preserve">Annual role review process did not have an expiry mechanism for the 'under redefinition' flag. Role was effectively excluded from review indefinitely.</t>
  </si>
  <si>
    <t xml:space="preserve">1. Review and redefine Ministry Integration Admin role within 30 days | remove out-of-scope write access.
2. Implement 60-day expiry for 'under redefinition' flags | any flagged role must be reviewed within 60 days or flag is automatically cleared and role added to next review cycle.</t>
  </si>
  <si>
    <t xml:space="preserve">Updated role definition; 60-day flag expiry configuration; CISO approval of revised role</t>
  </si>
  <si>
    <t xml:space="preserve">Minor NC: Must be closed before next surveillance audit.</t>
  </si>
  <si>
    <t xml:space="preserve">NC-004</t>
  </si>
  <si>
    <t xml:space="preserve">3 break-glass emergency accounts exist outside CyberArk PAM | no session logging and no quarterly review conducted. Dual-person access requirement is met but session recording and review cadence requirements of GO-ITS 25.0 are not.</t>
  </si>
  <si>
    <t xml:space="preserve">Break-glass accounts were created at platform launch with dual-person controls but session logging and review cadence requirements were not applied. Accounts have not been accessed in 18 months.</t>
  </si>
  <si>
    <t xml:space="preserve">1. Implement session logging for break-glass accounts via dedicated CyberArk safe with restricted access.
2. Add break-glass account review to quarterly privileged account review agenda.
3. Confirm accounts have not been accessed by reviewing authentication logs from platform launch to present.</t>
  </si>
  <si>
    <t xml:space="preserve">CyberArk break-glass safe configuration; quarterly review agenda update; authentication log review confirming no access</t>
  </si>
  <si>
    <t xml:space="preserve">NC-005</t>
  </si>
  <si>
    <t xml:space="preserve">Authentication flow changes (password reset, session timeout) classified as Standard Changes | bypassing CAB review. Pre-approval template approved in 2022 pre-dates current MFA architecture and has not been reviewed.</t>
  </si>
  <si>
    <t xml:space="preserve">Standard Change templates reviewed annually for most categories. Authentication template flagged as 'stable' and excluded from 2025 review despite significant architecture change (MFA rollout in 2023).</t>
  </si>
  <si>
    <t xml:space="preserve">1. Remove authentication flow changes from Standard Change category | reclassify as Normal Change requiring CAB and security sign-off.
2. Update all Standard Change templates as part of annual review (August 2026).
3. Immediately review CHG-2026-0447 and CHG-2026-0512 (authentication changes deployed as Standard) | confirm no security regressions introduced.</t>
  </si>
  <si>
    <t xml:space="preserve">Updated change category matrix; revised template; post-deployment review reports for 2 identified changes</t>
  </si>
  <si>
    <t xml:space="preserve">NC-006</t>
  </si>
  <si>
    <t xml:space="preserve">DAST scan for OSAP module release (ONT-REL-2026-089) was not archived to the evidence repository due to a ZAP integration failure that logged only a warning (not a failure). Evidence gap exists despite the scan being conducted.</t>
  </si>
  <si>
    <t xml:space="preserve">GitHub Actions ZAP integration configured to warn (not fail) on upload error | evidence gaps can occur silently without blocking the release.</t>
  </si>
  <si>
    <t xml:space="preserve">1. Archive OSAP release DAST scan from ZAP instance to evidence repository.
2. Fix GitHub Actions ZAP integration to fail hard on upload error.
3. Conduct post-deployment security review for ONT-REL-2026-089 and document findings.</t>
  </si>
  <si>
    <t xml:space="preserve">Archived DAST report; updated GitHub Actions pipeline config; post-deployment review report</t>
  </si>
  <si>
    <t xml:space="preserve">NC-007</t>
  </si>
  <si>
    <t xml:space="preserve">SRV-OSAP-03 and SRV-OSAP-04 audit logs missing citizen_id field following middleware upgrade (April 14, 2026). Field required under FIPPA s.10 for personal information access audit trail. Upgrade checklist was incomplete.</t>
  </si>
  <si>
    <t xml:space="preserve">Middleware upgrade logging checklist did not include citizen_id as a required field | field was added to logging standard after checklist was last updated. Upgrade team followed the checklist correctly.</t>
  </si>
  <si>
    <t xml:space="preserve">1. Update logging configuration on SRV-OSAP-03 and SRV-OSAP-04 to include citizen_id.
2. Update middleware upgrade checklist to include citizen_id as mandatory field.
3. Retroactive log analysis for April 14 to May 25, 2026 gap period.</t>
  </si>
  <si>
    <t xml:space="preserve">Updated logging config; revised upgrade checklist; retroactive log analysis report</t>
  </si>
  <si>
    <t xml:space="preserve">Minor NC: Must be closed before next surveillance audit. FIPPA audit trail gap increases urgency.</t>
  </si>
  <si>
    <t xml:space="preserve">NC-008</t>
  </si>
  <si>
    <t xml:space="preserve">SOC alert response SLA exceeded on May 7 (Saturday) for 2 alerts | by 18 and 31 minutes | due to SOC coverage gap when sick analyst did not self-notify backup. Coverage procedure depends on sick analyst action.</t>
  </si>
  <si>
    <t xml:space="preserve">SOC coverage procedure requires sick analyst to notify backup | creating a dependency on individual action rather than a systematic control.</t>
  </si>
  <si>
    <t xml:space="preserve">1. Implement automated on-call notification: if analyst does not check-in by shift start, SOC lead is automatically paged.
2. Add public holiday coverage to rotation schedule.
3. Update SOC coverage SOP to remove dependency on sick analyst self-notification.</t>
  </si>
  <si>
    <t xml:space="preserve">Updated SOC coverage SOP; automated paging configuration evidence; rotation schedule update</t>
  </si>
  <si>
    <t xml:space="preserve">NC-009</t>
  </si>
  <si>
    <t xml:space="preserve">Daily log review SLA missed on May 9 and May 16 (Saturdays) | same root cause as NC-008. Linked finding.</t>
  </si>
  <si>
    <t xml:space="preserve">Same root cause as NC-008 | SOC weekend coverage dependency on sick analyst self-notification.</t>
  </si>
  <si>
    <t xml:space="preserve">Covered by NC-008 corrective action. Automated on-call notification will resolve both NC-008 and NC-009.</t>
  </si>
  <si>
    <t xml:space="preserve">See NC-008 evidence</t>
  </si>
  <si>
    <t xml:space="preserve">Minor NC: Linked to NC-008. Will be closed simultaneously.</t>
  </si>
  <si>
    <t xml:space="preserve">NC-010</t>
  </si>
  <si>
    <t xml:space="preserve">Key destruction certificates not generated for keys rotated in November 2024 and November 2025. Azure Key Vault automated rotation silently deprecates previous keys without triggering the manual certificate step required by policy.</t>
  </si>
  <si>
    <t xml:space="preserve">Key management policy was written before automated rotation was implemented. The policy specifies manual destruction certificates but the automated process does not include this step.</t>
  </si>
  <si>
    <t xml:space="preserve">1. Generate retroactive destruction certificates for November 2024 and November 2025 rotations.
2. Update key management policy to document that automated rotation triggers a manual certificate step.
3. Implement quarterly key management checklist including certificate verification.</t>
  </si>
  <si>
    <t xml:space="preserve">Retroactive destruction certificates (2 years); updated key management policy; quarterly checklist evidence</t>
  </si>
  <si>
    <t xml:space="preserve">NC-011</t>
  </si>
  <si>
    <t xml:space="preserve">DataStream Analytics security assessment overdue by 4 months | last assessed January 2024. Vendor was extended via contract amendment which bypassed the reassessment trigger.</t>
  </si>
  <si>
    <t xml:space="preserve">Supplier onboarding workflow reassessment trigger only fires for new engagements | contract amendments are not treated as triggering events.</t>
  </si>
  <si>
    <t xml:space="preserve">1. Conduct DataStream Analytics security reassessment within 30 days.
2. Update supplier management process to trigger annual reassessment for all active vendors regardless of contract type.
3. Implement automated annual reassessment reminders in the vendor register.</t>
  </si>
  <si>
    <t xml:space="preserve">DataStream Analytics reassessment report; updated supplier process; automated reminder configuration</t>
  </si>
  <si>
    <t xml:space="preserve">OFI-001</t>
  </si>
  <si>
    <t xml:space="preserve">Network architecture diagram maintained in Visio (SharePoint) | no automated process to ensure diagram stays current with infrastructure changes. Risk of diagram drift over time.</t>
  </si>
  <si>
    <t xml:space="preserve">Architecture diagram is manually updated after infrastructure changes | relies on engineer discipline rather than automation.</t>
  </si>
  <si>
    <t xml:space="preserve">Consider adopting Terraform-generated architecture diagrams or infrastructure-as-code visualization tools (e.g., Inframap) to automate diagram currency.</t>
  </si>
  <si>
    <t xml:space="preserve">N/A | OFI (no corrective action required)</t>
  </si>
  <si>
    <t xml:space="preserve">OFI: No certification impact. Recommended for next annual ISMS review agenda.</t>
  </si>
  <si>
    <t xml:space="preserve">OFI-002</t>
  </si>
  <si>
    <t xml:space="preserve">Ontario standard IT security schedule does not require vendors to provide annual third-party security attestation (SOC 2, CSA STAR) for high-risk vendors handling PROTECTED B data.</t>
  </si>
  <si>
    <t xml:space="preserve">Ontario standard schedule developed by Management Board Secretariat | GovTech Ontario applies it without modification.</t>
  </si>
  <si>
    <t xml:space="preserve">Propose enhancement to Management Board Secretariat for next revision of Ontario standard IT security schedule | add SOC 2 or equivalent attestation requirement for PROTECTED B data vendors.</t>
  </si>
  <si>
    <t xml:space="preserve">OFI: No certification impact. Proposal to Management Board Secretariat recommended.</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</si>
</sst>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9"/>
      <color rgb="FF9DBDD4"/>
      <name val="Calibri"/>
      <family val="0"/>
      <charset val="1"/>
    </font>
    <font>
      <b val="true"/>
      <sz val="9"/>
      <color rgb="FF0E1E30"/>
      <name val="Calibri"/>
      <family val="0"/>
      <charset val="1"/>
    </font>
    <font>
      <sz val="9"/>
      <color rgb="FF0E1E30"/>
      <name val="Calibri"/>
      <family val="0"/>
      <charset val="1"/>
    </font>
    <font>
      <b val="true"/>
      <sz val="9"/>
      <color rgb="FFFFFFFF"/>
      <name val="Calibri"/>
      <family val="0"/>
      <charset val="1"/>
    </font>
    <font>
      <b val="true"/>
      <sz val="8"/>
      <color rgb="FFFFFFFF"/>
      <name val="Calibri"/>
      <family val="0"/>
      <charset val="1"/>
    </font>
    <font>
      <b val="true"/>
      <sz val="12"/>
      <color rgb="FFFFFFFF"/>
      <name val="Calibri"/>
      <family val="0"/>
      <charset val="1"/>
    </font>
    <font>
      <i val="true"/>
      <sz val="8"/>
      <color rgb="FF9DBDD4"/>
      <name val="Calibri"/>
      <family val="0"/>
      <charset val="1"/>
    </font>
  </fonts>
  <fills count="16">
    <fill>
      <patternFill patternType="none"/>
    </fill>
    <fill>
      <patternFill patternType="gray125"/>
    </fill>
    <fill>
      <patternFill patternType="solid">
        <fgColor rgb="FF1C3557"/>
        <bgColor rgb="FF333333"/>
      </patternFill>
    </fill>
    <fill>
      <patternFill patternType="solid">
        <fgColor rgb="FF264A72"/>
        <bgColor rgb="FF305A88"/>
      </patternFill>
    </fill>
    <fill>
      <patternFill patternType="solid">
        <fgColor rgb="FFE2ECF4"/>
        <bgColor rgb="FFE3F2FD"/>
      </patternFill>
    </fill>
    <fill>
      <patternFill patternType="solid">
        <fgColor rgb="FFFFFFFF"/>
        <bgColor rgb="FFF0F4F8"/>
      </patternFill>
    </fill>
    <fill>
      <patternFill patternType="solid">
        <fgColor rgb="FFF0F4F8"/>
        <bgColor rgb="FFE6F4EA"/>
      </patternFill>
    </fill>
    <fill>
      <patternFill patternType="solid">
        <fgColor rgb="FF305A88"/>
        <bgColor rgb="FF264A72"/>
      </patternFill>
    </fill>
    <fill>
      <patternFill patternType="solid">
        <fgColor rgb="FFE6F4EA"/>
        <bgColor rgb="FFE3F2FD"/>
      </patternFill>
    </fill>
    <fill>
      <patternFill patternType="solid">
        <fgColor rgb="FF99CC00"/>
        <bgColor rgb="FFFFBB33"/>
      </patternFill>
    </fill>
    <fill>
      <patternFill patternType="solid">
        <fgColor rgb="FFFEF3CD"/>
        <bgColor rgb="FFFFF3CD"/>
      </patternFill>
    </fill>
    <fill>
      <patternFill patternType="solid">
        <fgColor rgb="FFFFBB33"/>
        <bgColor rgb="FFFF9900"/>
      </patternFill>
    </fill>
    <fill>
      <patternFill patternType="solid">
        <fgColor rgb="FFFFFF88"/>
        <bgColor rgb="FFFFF3CD"/>
      </patternFill>
    </fill>
    <fill>
      <patternFill patternType="solid">
        <fgColor rgb="FFFFE0E0"/>
        <bgColor rgb="FFFFF3CD"/>
      </patternFill>
    </fill>
    <fill>
      <patternFill patternType="solid">
        <fgColor rgb="FFE3F2FD"/>
        <bgColor rgb="FFE2ECF4"/>
      </patternFill>
    </fill>
    <fill>
      <patternFill patternType="solid">
        <fgColor rgb="FFFFF3CD"/>
        <bgColor rgb="FFFEF3CD"/>
      </patternFill>
    </fill>
  </fills>
  <borders count="3">
    <border diagonalUp="false" diagonalDown="false">
      <left/>
      <right/>
      <top/>
      <bottom/>
      <diagonal/>
    </border>
    <border diagonalUp="false" diagonalDown="false">
      <left style="thin">
        <color rgb="FFB0C4D8"/>
      </left>
      <right style="thin">
        <color rgb="FFB0C4D8"/>
      </right>
      <top style="thin">
        <color rgb="FFB0C4D8"/>
      </top>
      <bottom style="thin">
        <color rgb="FFB0C4D8"/>
      </bottom>
      <diagonal/>
    </border>
    <border diagonalUp="false" diagonalDown="false">
      <left style="thin">
        <color rgb="FFB0C4D8"/>
      </left>
      <right/>
      <top style="thin">
        <color rgb="FFB0C4D8"/>
      </top>
      <bottom style="thin">
        <color rgb="FFB0C4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7" fillId="13" borderId="1"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true" applyProtection="false">
      <alignment horizontal="left" vertical="center" textRotation="0" wrapText="true" indent="0" shrinkToFit="false"/>
      <protection locked="true" hidden="false"/>
    </xf>
    <xf numFmtId="164" fontId="6" fillId="15" borderId="1" xfId="0" applyFont="true" applyBorder="true" applyAlignment="true" applyProtection="false">
      <alignment horizontal="left" vertical="center" textRotation="0" wrapText="true" indent="0" shrinkToFit="false"/>
      <protection locked="true" hidden="false"/>
    </xf>
    <xf numFmtId="164" fontId="7" fillId="15" borderId="1" xfId="0" applyFont="true" applyBorder="true" applyAlignment="true" applyProtection="false">
      <alignment horizontal="left" vertical="center" textRotation="0" wrapText="true" indent="0" shrinkToFit="false"/>
      <protection locked="true" hidden="false"/>
    </xf>
    <xf numFmtId="164" fontId="7" fillId="1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3CD"/>
      <rgbColor rgb="FFFF00FF"/>
      <rgbColor rgb="FF00FFFF"/>
      <rgbColor rgb="FF800000"/>
      <rgbColor rgb="FF008000"/>
      <rgbColor rgb="FF000080"/>
      <rgbColor rgb="FF808000"/>
      <rgbColor rgb="FF800080"/>
      <rgbColor rgb="FF008080"/>
      <rgbColor rgb="FFB0C4D8"/>
      <rgbColor rgb="FF808080"/>
      <rgbColor rgb="FF9999FF"/>
      <rgbColor rgb="FF993366"/>
      <rgbColor rgb="FFFFF3CD"/>
      <rgbColor rgb="FFE3F2FD"/>
      <rgbColor rgb="FF660066"/>
      <rgbColor rgb="FFFF8080"/>
      <rgbColor rgb="FF0066CC"/>
      <rgbColor rgb="FFF0F4F8"/>
      <rgbColor rgb="FF000080"/>
      <rgbColor rgb="FFFF00FF"/>
      <rgbColor rgb="FFFFFF00"/>
      <rgbColor rgb="FF00FFFF"/>
      <rgbColor rgb="FF800080"/>
      <rgbColor rgb="FF800000"/>
      <rgbColor rgb="FF008080"/>
      <rgbColor rgb="FF0000FF"/>
      <rgbColor rgb="FF00CCFF"/>
      <rgbColor rgb="FFE6F4EA"/>
      <rgbColor rgb="FFE2ECF4"/>
      <rgbColor rgb="FFFFFF88"/>
      <rgbColor rgb="FF9DBDD4"/>
      <rgbColor rgb="FFFF99CC"/>
      <rgbColor rgb="FFCC99FF"/>
      <rgbColor rgb="FFFFE0E0"/>
      <rgbColor rgb="FF3366FF"/>
      <rgbColor rgb="FF33CCCC"/>
      <rgbColor rgb="FF99CC00"/>
      <rgbColor rgb="FFFFBB33"/>
      <rgbColor rgb="FFFF9900"/>
      <rgbColor rgb="FFFF6600"/>
      <rgbColor rgb="FF305A88"/>
      <rgbColor rgb="FF969696"/>
      <rgbColor rgb="FF1C3557"/>
      <rgbColor rgb="FF339966"/>
      <rgbColor rgb="FF0E1E30"/>
      <rgbColor rgb="FF333300"/>
      <rgbColor rgb="FF993300"/>
      <rgbColor rgb="FF993366"/>
      <rgbColor rgb="FF264A7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4"/>
    <col collapsed="false" customWidth="true" hidden="false" outlineLevel="0" max="3" min="3" style="1" width="18"/>
    <col collapsed="false" customWidth="true" hidden="false" outlineLevel="0" max="4" min="4" style="1" width="14"/>
  </cols>
  <sheetData>
    <row r="1" customFormat="false" ht="36" hidden="false" customHeight="true" outlineLevel="0" collapsed="false">
      <c r="A1" s="2" t="s">
        <v>0</v>
      </c>
      <c r="B1" s="2"/>
      <c r="C1" s="2"/>
      <c r="D1" s="2"/>
    </row>
    <row r="2" customFormat="false" ht="18" hidden="false" customHeight="true" outlineLevel="0" collapsed="false">
      <c r="A2" s="3" t="s">
        <v>1</v>
      </c>
      <c r="B2" s="3"/>
      <c r="C2" s="3"/>
      <c r="D2" s="3"/>
    </row>
    <row r="4" customFormat="false" ht="21.75" hidden="false" customHeight="true" outlineLevel="0" collapsed="false">
      <c r="A4" s="4" t="s">
        <v>2</v>
      </c>
      <c r="B4" s="5" t="s">
        <v>3</v>
      </c>
      <c r="C4" s="5"/>
      <c r="D4" s="5"/>
    </row>
    <row r="5" customFormat="false" ht="21.75" hidden="false" customHeight="true" outlineLevel="0" collapsed="false">
      <c r="A5" s="4" t="s">
        <v>4</v>
      </c>
      <c r="B5" s="5" t="s">
        <v>5</v>
      </c>
      <c r="C5" s="5"/>
      <c r="D5" s="5"/>
    </row>
    <row r="6" customFormat="false" ht="21.75" hidden="false" customHeight="true" outlineLevel="0" collapsed="false">
      <c r="A6" s="4" t="s">
        <v>6</v>
      </c>
      <c r="B6" s="5" t="s">
        <v>7</v>
      </c>
      <c r="C6" s="5"/>
      <c r="D6" s="5"/>
    </row>
    <row r="7" customFormat="false" ht="21.75" hidden="false" customHeight="true" outlineLevel="0" collapsed="false">
      <c r="A7" s="4" t="s">
        <v>8</v>
      </c>
      <c r="B7" s="5" t="s">
        <v>9</v>
      </c>
      <c r="C7" s="5"/>
      <c r="D7" s="5"/>
    </row>
    <row r="8" customFormat="false" ht="21.75" hidden="false" customHeight="true" outlineLevel="0" collapsed="false">
      <c r="A8" s="4" t="s">
        <v>10</v>
      </c>
      <c r="B8" s="5" t="s">
        <v>11</v>
      </c>
      <c r="C8" s="5"/>
      <c r="D8" s="5"/>
    </row>
    <row r="9" customFormat="false" ht="21.75" hidden="false" customHeight="true" outlineLevel="0" collapsed="false">
      <c r="A9" s="4" t="s">
        <v>12</v>
      </c>
      <c r="B9" s="5" t="s">
        <v>13</v>
      </c>
      <c r="C9" s="5"/>
      <c r="D9" s="5"/>
    </row>
    <row r="10" customFormat="false" ht="21.75" hidden="false" customHeight="true" outlineLevel="0" collapsed="false">
      <c r="A10" s="4" t="s">
        <v>14</v>
      </c>
      <c r="B10" s="5" t="s">
        <v>15</v>
      </c>
      <c r="C10" s="5"/>
      <c r="D10" s="5"/>
    </row>
    <row r="11" customFormat="false" ht="21.75" hidden="false" customHeight="true" outlineLevel="0" collapsed="false">
      <c r="A11" s="4" t="s">
        <v>16</v>
      </c>
      <c r="B11" s="5" t="s">
        <v>17</v>
      </c>
      <c r="C11" s="5"/>
      <c r="D11" s="5"/>
    </row>
    <row r="12" customFormat="false" ht="21.75" hidden="false" customHeight="true" outlineLevel="0" collapsed="false">
      <c r="A12" s="4" t="s">
        <v>18</v>
      </c>
      <c r="B12" s="5" t="s">
        <v>19</v>
      </c>
      <c r="C12" s="5"/>
      <c r="D12" s="5"/>
    </row>
    <row r="13" customFormat="false" ht="21.75" hidden="false" customHeight="true" outlineLevel="0" collapsed="false">
      <c r="A13" s="4" t="s">
        <v>20</v>
      </c>
      <c r="B13" s="5" t="s">
        <v>21</v>
      </c>
      <c r="C13" s="5"/>
      <c r="D13" s="5"/>
    </row>
    <row r="14" customFormat="false" ht="21.75" hidden="false" customHeight="true" outlineLevel="0" collapsed="false">
      <c r="A14" s="4" t="s">
        <v>22</v>
      </c>
      <c r="B14" s="5" t="s">
        <v>23</v>
      </c>
      <c r="C14" s="5"/>
      <c r="D14" s="5"/>
    </row>
    <row r="15" customFormat="false" ht="21.75" hidden="false" customHeight="true" outlineLevel="0" collapsed="false">
      <c r="A15" s="4" t="s">
        <v>24</v>
      </c>
      <c r="B15" s="5" t="s">
        <v>25</v>
      </c>
      <c r="C15" s="5"/>
      <c r="D15" s="5"/>
    </row>
    <row r="16" customFormat="false" ht="21.75" hidden="false" customHeight="true" outlineLevel="0" collapsed="false">
      <c r="A16" s="4" t="s">
        <v>26</v>
      </c>
      <c r="B16" s="5" t="s">
        <v>27</v>
      </c>
      <c r="C16" s="5"/>
      <c r="D16" s="5"/>
    </row>
    <row r="17" customFormat="false" ht="21.75" hidden="false" customHeight="true" outlineLevel="0" collapsed="false">
      <c r="A17" s="4" t="s">
        <v>28</v>
      </c>
      <c r="B17" s="5" t="s">
        <v>29</v>
      </c>
      <c r="C17" s="5"/>
      <c r="D17" s="5"/>
    </row>
    <row r="19" customFormat="false" ht="21.75" hidden="false" customHeight="true" outlineLevel="0" collapsed="false">
      <c r="A19" s="6" t="s">
        <v>30</v>
      </c>
      <c r="B19" s="6"/>
      <c r="C19" s="6"/>
      <c r="D19" s="6"/>
    </row>
    <row r="20" customFormat="false" ht="21.75" hidden="false" customHeight="true" outlineLevel="0" collapsed="false">
      <c r="A20" s="7" t="s">
        <v>31</v>
      </c>
      <c r="B20" s="7" t="s">
        <v>32</v>
      </c>
      <c r="C20" s="7" t="s">
        <v>33</v>
      </c>
      <c r="D20" s="7" t="s">
        <v>34</v>
      </c>
    </row>
    <row r="21" customFormat="false" ht="24" hidden="false" customHeight="true" outlineLevel="0" collapsed="false">
      <c r="A21" s="8" t="s">
        <v>35</v>
      </c>
      <c r="B21" s="9" t="s">
        <v>36</v>
      </c>
      <c r="C21" s="9" t="s">
        <v>37</v>
      </c>
      <c r="D21" s="9" t="s">
        <v>38</v>
      </c>
    </row>
    <row r="22" customFormat="false" ht="24" hidden="false" customHeight="true" outlineLevel="0" collapsed="false">
      <c r="A22" s="10" t="s">
        <v>39</v>
      </c>
      <c r="B22" s="11" t="s">
        <v>40</v>
      </c>
      <c r="C22" s="11" t="s">
        <v>41</v>
      </c>
      <c r="D22" s="11" t="s">
        <v>42</v>
      </c>
    </row>
    <row r="23" customFormat="false" ht="24" hidden="false" customHeight="true" outlineLevel="0" collapsed="false">
      <c r="A23" s="8" t="s">
        <v>43</v>
      </c>
      <c r="B23" s="9" t="s">
        <v>44</v>
      </c>
      <c r="C23" s="9" t="s">
        <v>45</v>
      </c>
      <c r="D23" s="9" t="s">
        <v>42</v>
      </c>
    </row>
    <row r="24" customFormat="false" ht="24" hidden="false" customHeight="true" outlineLevel="0" collapsed="false">
      <c r="A24" s="10" t="s">
        <v>46</v>
      </c>
      <c r="B24" s="11" t="s">
        <v>47</v>
      </c>
      <c r="C24" s="11" t="s">
        <v>48</v>
      </c>
      <c r="D24" s="11" t="s">
        <v>42</v>
      </c>
    </row>
    <row r="25" customFormat="false" ht="24" hidden="false" customHeight="true" outlineLevel="0" collapsed="false">
      <c r="A25" s="8" t="s">
        <v>49</v>
      </c>
      <c r="B25" s="9" t="s">
        <v>50</v>
      </c>
      <c r="C25" s="9" t="s">
        <v>51</v>
      </c>
      <c r="D25" s="9" t="s">
        <v>52</v>
      </c>
    </row>
    <row r="27" customFormat="false" ht="21.75" hidden="false" customHeight="true" outlineLevel="0" collapsed="false">
      <c r="A27" s="6" t="s">
        <v>53</v>
      </c>
      <c r="B27" s="6"/>
      <c r="C27" s="6"/>
      <c r="D27" s="6"/>
    </row>
    <row r="28" customFormat="false" ht="21.75" hidden="false" customHeight="true" outlineLevel="0" collapsed="false">
      <c r="A28" s="7" t="s">
        <v>31</v>
      </c>
      <c r="B28" s="7" t="s">
        <v>54</v>
      </c>
      <c r="C28" s="7" t="s">
        <v>55</v>
      </c>
      <c r="D28" s="7" t="s">
        <v>56</v>
      </c>
    </row>
    <row r="29" customFormat="false" ht="19.5" hidden="false" customHeight="true" outlineLevel="0" collapsed="false">
      <c r="A29" s="8" t="s">
        <v>57</v>
      </c>
      <c r="B29" s="12" t="n">
        <v>1</v>
      </c>
      <c r="C29" s="12" t="n">
        <v>2</v>
      </c>
      <c r="D29" s="12" t="n">
        <v>1</v>
      </c>
    </row>
    <row r="30" customFormat="false" ht="19.5" hidden="false" customHeight="true" outlineLevel="0" collapsed="false">
      <c r="A30" s="10" t="s">
        <v>39</v>
      </c>
      <c r="B30" s="13" t="n">
        <v>0</v>
      </c>
      <c r="C30" s="13" t="n">
        <v>2</v>
      </c>
      <c r="D30" s="13" t="n">
        <v>2</v>
      </c>
    </row>
    <row r="31" customFormat="false" ht="19.5" hidden="false" customHeight="true" outlineLevel="0" collapsed="false">
      <c r="A31" s="8" t="s">
        <v>43</v>
      </c>
      <c r="B31" s="12" t="n">
        <v>0</v>
      </c>
      <c r="C31" s="12" t="n">
        <v>1</v>
      </c>
      <c r="D31" s="12" t="n">
        <v>2</v>
      </c>
    </row>
    <row r="32" customFormat="false" ht="19.5" hidden="false" customHeight="true" outlineLevel="0" collapsed="false">
      <c r="A32" s="10" t="s">
        <v>58</v>
      </c>
      <c r="B32" s="13" t="n">
        <v>0</v>
      </c>
      <c r="C32" s="13" t="n">
        <v>1</v>
      </c>
      <c r="D32" s="13" t="n">
        <v>1</v>
      </c>
    </row>
    <row r="33" customFormat="false" ht="19.5" hidden="false" customHeight="true" outlineLevel="0" collapsed="false">
      <c r="A33" s="8" t="s">
        <v>59</v>
      </c>
      <c r="B33" s="12" t="n">
        <v>0</v>
      </c>
      <c r="C33" s="12" t="n">
        <v>1</v>
      </c>
      <c r="D33" s="12" t="n">
        <v>1</v>
      </c>
    </row>
    <row r="34" customFormat="false" ht="24" hidden="false" customHeight="true" outlineLevel="0" collapsed="false">
      <c r="A34" s="14" t="s">
        <v>60</v>
      </c>
      <c r="B34" s="14" t="n">
        <f aca="false">SUM(B29:B33)</f>
        <v>1</v>
      </c>
      <c r="C34" s="14" t="n">
        <f aca="false">SUM(C29:C33)</f>
        <v>7</v>
      </c>
      <c r="D34" s="14" t="n">
        <f aca="false">SUM(D29:D33)</f>
        <v>7</v>
      </c>
    </row>
    <row r="36" customFormat="false" ht="15" hidden="false" customHeight="true" outlineLevel="0" collapsed="false">
      <c r="A36" s="4" t="s">
        <v>61</v>
      </c>
      <c r="B36" s="11" t="s">
        <v>62</v>
      </c>
    </row>
    <row r="37" customFormat="false" ht="42.75" hidden="false" customHeight="true" outlineLevel="0" collapsed="false">
      <c r="B37" s="4" t="s">
        <v>63</v>
      </c>
      <c r="C37" s="11" t="s">
        <v>64</v>
      </c>
    </row>
  </sheetData>
  <mergeCells count="18">
    <mergeCell ref="A1:D1"/>
    <mergeCell ref="A2:D2"/>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A19:D19"/>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26"/>
    <col collapsed="false" customWidth="true" hidden="false" outlineLevel="0" max="4" min="4" style="1" width="34"/>
    <col collapsed="false" customWidth="true" hidden="false" outlineLevel="0" max="5" min="5" style="1" width="22"/>
    <col collapsed="false" customWidth="true" hidden="false" outlineLevel="0" max="6" min="6" style="1" width="32"/>
    <col collapsed="false" customWidth="true" hidden="false" outlineLevel="0" max="9" min="7" style="1" width="12"/>
    <col collapsed="false" customWidth="true" hidden="false" outlineLevel="0" max="10" min="10" style="1" width="30"/>
    <col collapsed="false" customWidth="true" hidden="false" outlineLevel="0" max="11" min="11" style="1" width="26"/>
    <col collapsed="false" customWidth="true" hidden="false" outlineLevel="0" max="12" min="12" style="1" width="32"/>
    <col collapsed="false" customWidth="true" hidden="false" outlineLevel="0" max="13" min="13" style="1" width="20"/>
    <col collapsed="false" customWidth="true" hidden="false" outlineLevel="0" max="14" min="14" style="1" width="13"/>
    <col collapsed="false" customWidth="true" hidden="false" outlineLevel="0" max="15" min="15" style="1" width="18"/>
    <col collapsed="false" customWidth="true" hidden="false" outlineLevel="0" max="16" min="16" style="1" width="10"/>
  </cols>
  <sheetData>
    <row r="1" customFormat="false" ht="30" hidden="false" customHeight="true" outlineLevel="0" collapsed="false">
      <c r="A1" s="15" t="s">
        <v>65</v>
      </c>
      <c r="B1" s="15"/>
      <c r="C1" s="15"/>
      <c r="D1" s="15"/>
      <c r="E1" s="15"/>
      <c r="F1" s="15"/>
      <c r="G1" s="15"/>
      <c r="H1" s="15"/>
      <c r="I1" s="15"/>
      <c r="J1" s="15"/>
      <c r="K1" s="15"/>
      <c r="L1" s="15"/>
      <c r="M1" s="15"/>
      <c r="N1" s="15"/>
      <c r="O1" s="15"/>
      <c r="P1" s="15"/>
    </row>
    <row r="2" customFormat="false" ht="15.75" hidden="false" customHeight="true" outlineLevel="0" collapsed="false">
      <c r="A2" s="16" t="s">
        <v>66</v>
      </c>
      <c r="B2" s="16"/>
      <c r="C2" s="16"/>
      <c r="D2" s="16"/>
      <c r="E2" s="16"/>
      <c r="F2" s="16"/>
      <c r="G2" s="16"/>
      <c r="H2" s="16"/>
      <c r="I2" s="16"/>
      <c r="J2" s="16"/>
      <c r="K2" s="16"/>
      <c r="L2" s="16"/>
      <c r="M2" s="16"/>
      <c r="N2" s="16"/>
      <c r="O2" s="16"/>
      <c r="P2" s="16"/>
    </row>
    <row r="3" customFormat="false" ht="27.75" hidden="false" customHeight="true" outlineLevel="0" collapsed="false">
      <c r="A3" s="17" t="s">
        <v>67</v>
      </c>
      <c r="B3" s="17" t="s">
        <v>68</v>
      </c>
      <c r="C3" s="17" t="s">
        <v>69</v>
      </c>
      <c r="D3" s="17" t="s">
        <v>70</v>
      </c>
      <c r="E3" s="17" t="s">
        <v>71</v>
      </c>
      <c r="F3" s="17" t="s">
        <v>72</v>
      </c>
      <c r="G3" s="17" t="s">
        <v>73</v>
      </c>
      <c r="H3" s="17" t="s">
        <v>74</v>
      </c>
      <c r="I3" s="17" t="s">
        <v>75</v>
      </c>
      <c r="J3" s="17" t="s">
        <v>76</v>
      </c>
      <c r="K3" s="17" t="s">
        <v>77</v>
      </c>
      <c r="L3" s="17" t="s">
        <v>78</v>
      </c>
      <c r="M3" s="17" t="s">
        <v>79</v>
      </c>
      <c r="N3" s="17" t="s">
        <v>80</v>
      </c>
      <c r="O3" s="17" t="s">
        <v>81</v>
      </c>
      <c r="P3" s="17" t="s">
        <v>82</v>
      </c>
    </row>
    <row r="4" customFormat="false" ht="21.75" hidden="false" customHeight="true" outlineLevel="0" collapsed="false">
      <c r="A4" s="18" t="s">
        <v>83</v>
      </c>
      <c r="B4" s="18"/>
      <c r="C4" s="18"/>
      <c r="D4" s="18"/>
      <c r="E4" s="18"/>
      <c r="F4" s="18"/>
      <c r="G4" s="18"/>
      <c r="H4" s="18"/>
      <c r="I4" s="18"/>
      <c r="J4" s="18"/>
      <c r="K4" s="18"/>
      <c r="L4" s="18"/>
      <c r="M4" s="18"/>
      <c r="N4" s="18"/>
      <c r="O4" s="18"/>
      <c r="P4" s="18"/>
    </row>
    <row r="5" customFormat="false" ht="51.75" hidden="false" customHeight="true" outlineLevel="0" collapsed="false">
      <c r="A5" s="10" t="s">
        <v>84</v>
      </c>
      <c r="B5" s="11" t="s">
        <v>85</v>
      </c>
      <c r="C5" s="11" t="s">
        <v>86</v>
      </c>
      <c r="D5" s="11" t="s">
        <v>87</v>
      </c>
      <c r="E5" s="11" t="s">
        <v>88</v>
      </c>
      <c r="F5" s="11" t="s">
        <v>89</v>
      </c>
      <c r="G5" s="19" t="s">
        <v>90</v>
      </c>
      <c r="H5" s="19" t="s">
        <v>90</v>
      </c>
      <c r="I5" s="20" t="s">
        <v>91</v>
      </c>
      <c r="J5" s="11" t="s">
        <v>92</v>
      </c>
      <c r="K5" s="11" t="s">
        <v>93</v>
      </c>
      <c r="L5" s="11" t="s">
        <v>94</v>
      </c>
      <c r="M5" s="11" t="s">
        <v>95</v>
      </c>
      <c r="N5" s="21" t="s">
        <v>92</v>
      </c>
      <c r="O5" s="11" t="s">
        <v>96</v>
      </c>
      <c r="P5" s="11" t="s">
        <v>97</v>
      </c>
    </row>
    <row r="6" customFormat="false" ht="51.75" hidden="false" customHeight="true" outlineLevel="0" collapsed="false">
      <c r="A6" s="8" t="s">
        <v>98</v>
      </c>
      <c r="B6" s="9" t="s">
        <v>99</v>
      </c>
      <c r="C6" s="9" t="s">
        <v>100</v>
      </c>
      <c r="D6" s="9" t="s">
        <v>101</v>
      </c>
      <c r="E6" s="9" t="s">
        <v>102</v>
      </c>
      <c r="F6" s="9" t="s">
        <v>103</v>
      </c>
      <c r="G6" s="22" t="s">
        <v>104</v>
      </c>
      <c r="H6" s="23" t="s">
        <v>55</v>
      </c>
      <c r="I6" s="24" t="s">
        <v>52</v>
      </c>
      <c r="J6" s="9" t="s">
        <v>105</v>
      </c>
      <c r="K6" s="9" t="s">
        <v>106</v>
      </c>
      <c r="L6" s="9" t="s">
        <v>107</v>
      </c>
      <c r="M6" s="9" t="s">
        <v>95</v>
      </c>
      <c r="N6" s="25" t="s">
        <v>108</v>
      </c>
      <c r="O6" s="9" t="s">
        <v>109</v>
      </c>
      <c r="P6" s="9" t="s">
        <v>110</v>
      </c>
    </row>
    <row r="7" customFormat="false" ht="51.75" hidden="false" customHeight="true" outlineLevel="0" collapsed="false">
      <c r="A7" s="10" t="s">
        <v>111</v>
      </c>
      <c r="B7" s="11" t="s">
        <v>112</v>
      </c>
      <c r="C7" s="11" t="s">
        <v>113</v>
      </c>
      <c r="D7" s="11" t="s">
        <v>114</v>
      </c>
      <c r="E7" s="11" t="s">
        <v>115</v>
      </c>
      <c r="F7" s="11" t="s">
        <v>116</v>
      </c>
      <c r="G7" s="19" t="s">
        <v>90</v>
      </c>
      <c r="H7" s="19" t="s">
        <v>90</v>
      </c>
      <c r="I7" s="20" t="s">
        <v>91</v>
      </c>
      <c r="J7" s="11" t="s">
        <v>92</v>
      </c>
      <c r="K7" s="11" t="s">
        <v>117</v>
      </c>
      <c r="L7" s="11" t="s">
        <v>118</v>
      </c>
      <c r="M7" s="11" t="s">
        <v>95</v>
      </c>
      <c r="N7" s="21" t="s">
        <v>92</v>
      </c>
      <c r="O7" s="11" t="s">
        <v>119</v>
      </c>
      <c r="P7" s="11" t="s">
        <v>120</v>
      </c>
    </row>
    <row r="8" customFormat="false" ht="51.75" hidden="false" customHeight="true" outlineLevel="0" collapsed="false">
      <c r="A8" s="8" t="s">
        <v>121</v>
      </c>
      <c r="B8" s="9" t="s">
        <v>122</v>
      </c>
      <c r="C8" s="9" t="s">
        <v>123</v>
      </c>
      <c r="D8" s="9" t="s">
        <v>124</v>
      </c>
      <c r="E8" s="9" t="s">
        <v>125</v>
      </c>
      <c r="F8" s="9" t="s">
        <v>126</v>
      </c>
      <c r="G8" s="22" t="s">
        <v>104</v>
      </c>
      <c r="H8" s="23" t="s">
        <v>55</v>
      </c>
      <c r="I8" s="24" t="s">
        <v>52</v>
      </c>
      <c r="J8" s="9" t="s">
        <v>127</v>
      </c>
      <c r="K8" s="9" t="s">
        <v>128</v>
      </c>
      <c r="L8" s="9" t="s">
        <v>129</v>
      </c>
      <c r="M8" s="9" t="s">
        <v>95</v>
      </c>
      <c r="N8" s="25" t="s">
        <v>130</v>
      </c>
      <c r="O8" s="9" t="s">
        <v>131</v>
      </c>
      <c r="P8" s="9" t="s">
        <v>132</v>
      </c>
    </row>
    <row r="9" customFormat="false" ht="51.75" hidden="false" customHeight="true" outlineLevel="0" collapsed="false">
      <c r="A9" s="10" t="s">
        <v>133</v>
      </c>
      <c r="B9" s="11" t="s">
        <v>134</v>
      </c>
      <c r="C9" s="11" t="s">
        <v>135</v>
      </c>
      <c r="D9" s="11" t="s">
        <v>136</v>
      </c>
      <c r="E9" s="11" t="s">
        <v>137</v>
      </c>
      <c r="F9" s="11" t="s">
        <v>138</v>
      </c>
      <c r="G9" s="22" t="s">
        <v>104</v>
      </c>
      <c r="H9" s="23" t="s">
        <v>55</v>
      </c>
      <c r="I9" s="24" t="s">
        <v>52</v>
      </c>
      <c r="J9" s="11" t="s">
        <v>139</v>
      </c>
      <c r="K9" s="11" t="s">
        <v>140</v>
      </c>
      <c r="L9" s="11" t="s">
        <v>141</v>
      </c>
      <c r="M9" s="11" t="s">
        <v>142</v>
      </c>
      <c r="N9" s="25" t="s">
        <v>108</v>
      </c>
      <c r="O9" s="11" t="s">
        <v>143</v>
      </c>
      <c r="P9" s="11" t="s">
        <v>144</v>
      </c>
    </row>
    <row r="10" customFormat="false" ht="51.75" hidden="false" customHeight="true" outlineLevel="0" collapsed="false">
      <c r="A10" s="8" t="s">
        <v>145</v>
      </c>
      <c r="B10" s="9" t="s">
        <v>146</v>
      </c>
      <c r="C10" s="9" t="s">
        <v>147</v>
      </c>
      <c r="D10" s="9" t="s">
        <v>148</v>
      </c>
      <c r="E10" s="9" t="s">
        <v>149</v>
      </c>
      <c r="F10" s="9" t="s">
        <v>150</v>
      </c>
      <c r="G10" s="22" t="s">
        <v>104</v>
      </c>
      <c r="H10" s="23" t="s">
        <v>55</v>
      </c>
      <c r="I10" s="23" t="s">
        <v>42</v>
      </c>
      <c r="J10" s="9" t="s">
        <v>151</v>
      </c>
      <c r="K10" s="9" t="s">
        <v>152</v>
      </c>
      <c r="L10" s="9" t="s">
        <v>153</v>
      </c>
      <c r="M10" s="9" t="s">
        <v>95</v>
      </c>
      <c r="N10" s="25" t="s">
        <v>154</v>
      </c>
      <c r="O10" s="9" t="s">
        <v>155</v>
      </c>
      <c r="P10" s="9" t="s">
        <v>156</v>
      </c>
    </row>
    <row r="11" customFormat="false" ht="51.75" hidden="false" customHeight="true" outlineLevel="0" collapsed="false">
      <c r="A11" s="10" t="s">
        <v>157</v>
      </c>
      <c r="B11" s="11" t="s">
        <v>158</v>
      </c>
      <c r="C11" s="11" t="s">
        <v>159</v>
      </c>
      <c r="D11" s="11" t="s">
        <v>160</v>
      </c>
      <c r="E11" s="11" t="s">
        <v>161</v>
      </c>
      <c r="F11" s="11" t="s">
        <v>162</v>
      </c>
      <c r="G11" s="19" t="s">
        <v>90</v>
      </c>
      <c r="H11" s="19" t="s">
        <v>90</v>
      </c>
      <c r="I11" s="20" t="s">
        <v>91</v>
      </c>
      <c r="J11" s="11" t="s">
        <v>92</v>
      </c>
      <c r="K11" s="11" t="s">
        <v>163</v>
      </c>
      <c r="L11" s="11" t="s">
        <v>164</v>
      </c>
      <c r="M11" s="11" t="s">
        <v>165</v>
      </c>
      <c r="N11" s="21" t="s">
        <v>92</v>
      </c>
      <c r="O11" s="11" t="s">
        <v>166</v>
      </c>
      <c r="P11" s="11" t="s">
        <v>167</v>
      </c>
    </row>
    <row r="12" customFormat="false" ht="6" hidden="false" customHeight="true" outlineLevel="0" collapsed="false"/>
    <row r="13" customFormat="false" ht="21.75" hidden="false" customHeight="true" outlineLevel="0" collapsed="false">
      <c r="A13" s="18" t="s">
        <v>168</v>
      </c>
      <c r="B13" s="18"/>
      <c r="C13" s="18"/>
      <c r="D13" s="18"/>
      <c r="E13" s="18"/>
      <c r="F13" s="18"/>
      <c r="G13" s="18"/>
      <c r="H13" s="18"/>
      <c r="I13" s="18"/>
      <c r="J13" s="18"/>
      <c r="K13" s="18"/>
      <c r="L13" s="18"/>
      <c r="M13" s="18"/>
      <c r="N13" s="18"/>
      <c r="O13" s="18"/>
      <c r="P13" s="18"/>
    </row>
    <row r="14" customFormat="false" ht="51.75" hidden="false" customHeight="true" outlineLevel="0" collapsed="false">
      <c r="A14" s="8" t="s">
        <v>169</v>
      </c>
      <c r="B14" s="9" t="s">
        <v>170</v>
      </c>
      <c r="C14" s="9" t="s">
        <v>171</v>
      </c>
      <c r="D14" s="9" t="s">
        <v>172</v>
      </c>
      <c r="E14" s="9" t="s">
        <v>173</v>
      </c>
      <c r="F14" s="9" t="s">
        <v>174</v>
      </c>
      <c r="G14" s="22" t="s">
        <v>104</v>
      </c>
      <c r="H14" s="23" t="s">
        <v>55</v>
      </c>
      <c r="I14" s="23" t="s">
        <v>42</v>
      </c>
      <c r="J14" s="9" t="s">
        <v>175</v>
      </c>
      <c r="K14" s="9" t="s">
        <v>176</v>
      </c>
      <c r="L14" s="9" t="s">
        <v>177</v>
      </c>
      <c r="M14" s="9" t="s">
        <v>165</v>
      </c>
      <c r="N14" s="25" t="s">
        <v>130</v>
      </c>
      <c r="O14" s="9" t="s">
        <v>178</v>
      </c>
      <c r="P14" s="9" t="s">
        <v>179</v>
      </c>
    </row>
    <row r="15" customFormat="false" ht="51.75" hidden="false" customHeight="true" outlineLevel="0" collapsed="false">
      <c r="A15" s="10" t="s">
        <v>180</v>
      </c>
      <c r="B15" s="11" t="s">
        <v>181</v>
      </c>
      <c r="C15" s="11" t="s">
        <v>182</v>
      </c>
      <c r="D15" s="11" t="s">
        <v>183</v>
      </c>
      <c r="E15" s="11" t="s">
        <v>184</v>
      </c>
      <c r="F15" s="11" t="s">
        <v>185</v>
      </c>
      <c r="G15" s="22" t="s">
        <v>104</v>
      </c>
      <c r="H15" s="23" t="s">
        <v>55</v>
      </c>
      <c r="I15" s="24" t="s">
        <v>52</v>
      </c>
      <c r="J15" s="11" t="s">
        <v>186</v>
      </c>
      <c r="K15" s="11" t="s">
        <v>187</v>
      </c>
      <c r="L15" s="11" t="s">
        <v>188</v>
      </c>
      <c r="M15" s="11" t="s">
        <v>189</v>
      </c>
      <c r="N15" s="25" t="s">
        <v>154</v>
      </c>
      <c r="O15" s="11" t="s">
        <v>190</v>
      </c>
      <c r="P15" s="11" t="s">
        <v>191</v>
      </c>
    </row>
    <row r="16" customFormat="false" ht="51.75" hidden="false" customHeight="true" outlineLevel="0" collapsed="false">
      <c r="A16" s="8" t="s">
        <v>192</v>
      </c>
      <c r="B16" s="9" t="s">
        <v>193</v>
      </c>
      <c r="C16" s="9" t="s">
        <v>194</v>
      </c>
      <c r="D16" s="9" t="s">
        <v>195</v>
      </c>
      <c r="E16" s="9" t="s">
        <v>196</v>
      </c>
      <c r="F16" s="9" t="s">
        <v>197</v>
      </c>
      <c r="G16" s="19" t="s">
        <v>90</v>
      </c>
      <c r="H16" s="19" t="s">
        <v>90</v>
      </c>
      <c r="I16" s="20" t="s">
        <v>91</v>
      </c>
      <c r="J16" s="9" t="s">
        <v>92</v>
      </c>
      <c r="K16" s="9" t="s">
        <v>198</v>
      </c>
      <c r="L16" s="9" t="s">
        <v>199</v>
      </c>
      <c r="M16" s="9" t="s">
        <v>189</v>
      </c>
      <c r="N16" s="21" t="s">
        <v>92</v>
      </c>
      <c r="O16" s="9" t="s">
        <v>200</v>
      </c>
      <c r="P16" s="9" t="s">
        <v>201</v>
      </c>
    </row>
    <row r="17" customFormat="false" ht="51.75" hidden="false" customHeight="true" outlineLevel="0" collapsed="false">
      <c r="A17" s="10" t="s">
        <v>202</v>
      </c>
      <c r="B17" s="11" t="s">
        <v>203</v>
      </c>
      <c r="C17" s="11" t="s">
        <v>204</v>
      </c>
      <c r="D17" s="11" t="s">
        <v>205</v>
      </c>
      <c r="E17" s="11" t="s">
        <v>206</v>
      </c>
      <c r="F17" s="11" t="s">
        <v>207</v>
      </c>
      <c r="G17" s="19" t="s">
        <v>90</v>
      </c>
      <c r="H17" s="19" t="s">
        <v>90</v>
      </c>
      <c r="I17" s="20" t="s">
        <v>91</v>
      </c>
      <c r="J17" s="11" t="s">
        <v>92</v>
      </c>
      <c r="K17" s="11" t="s">
        <v>208</v>
      </c>
      <c r="L17" s="11" t="s">
        <v>209</v>
      </c>
      <c r="M17" s="11" t="s">
        <v>189</v>
      </c>
      <c r="N17" s="21" t="s">
        <v>92</v>
      </c>
      <c r="O17" s="11" t="s">
        <v>210</v>
      </c>
      <c r="P17" s="11" t="s">
        <v>211</v>
      </c>
    </row>
    <row r="18" customFormat="false" ht="51.75" hidden="false" customHeight="true" outlineLevel="0" collapsed="false">
      <c r="A18" s="8" t="s">
        <v>212</v>
      </c>
      <c r="B18" s="9" t="s">
        <v>213</v>
      </c>
      <c r="C18" s="9" t="s">
        <v>214</v>
      </c>
      <c r="D18" s="9" t="s">
        <v>215</v>
      </c>
      <c r="E18" s="9" t="s">
        <v>216</v>
      </c>
      <c r="F18" s="9" t="s">
        <v>217</v>
      </c>
      <c r="G18" s="19" t="s">
        <v>90</v>
      </c>
      <c r="H18" s="26" t="s">
        <v>56</v>
      </c>
      <c r="I18" s="20" t="s">
        <v>91</v>
      </c>
      <c r="J18" s="9" t="s">
        <v>218</v>
      </c>
      <c r="K18" s="9" t="s">
        <v>219</v>
      </c>
      <c r="L18" s="9" t="s">
        <v>220</v>
      </c>
      <c r="M18" s="9" t="s">
        <v>221</v>
      </c>
      <c r="N18" s="21" t="s">
        <v>92</v>
      </c>
      <c r="O18" s="9" t="s">
        <v>222</v>
      </c>
      <c r="P18" s="9" t="s">
        <v>223</v>
      </c>
    </row>
    <row r="19" customFormat="false" ht="6" hidden="false" customHeight="true" outlineLevel="0" collapsed="false"/>
    <row r="20" customFormat="false" ht="21.75" hidden="false" customHeight="true" outlineLevel="0" collapsed="false">
      <c r="A20" s="18" t="s">
        <v>224</v>
      </c>
      <c r="B20" s="18"/>
      <c r="C20" s="18"/>
      <c r="D20" s="18"/>
      <c r="E20" s="18"/>
      <c r="F20" s="18"/>
      <c r="G20" s="18"/>
      <c r="H20" s="18"/>
      <c r="I20" s="18"/>
      <c r="J20" s="18"/>
      <c r="K20" s="18"/>
      <c r="L20" s="18"/>
      <c r="M20" s="18"/>
      <c r="N20" s="18"/>
      <c r="O20" s="18"/>
      <c r="P20" s="18"/>
    </row>
    <row r="21" customFormat="false" ht="51.75" hidden="false" customHeight="true" outlineLevel="0" collapsed="false">
      <c r="A21" s="10" t="s">
        <v>225</v>
      </c>
      <c r="B21" s="11" t="s">
        <v>226</v>
      </c>
      <c r="C21" s="11" t="s">
        <v>227</v>
      </c>
      <c r="D21" s="11" t="s">
        <v>228</v>
      </c>
      <c r="E21" s="11" t="s">
        <v>229</v>
      </c>
      <c r="F21" s="11" t="s">
        <v>230</v>
      </c>
      <c r="G21" s="22" t="s">
        <v>104</v>
      </c>
      <c r="H21" s="23" t="s">
        <v>55</v>
      </c>
      <c r="I21" s="23" t="s">
        <v>42</v>
      </c>
      <c r="J21" s="11" t="s">
        <v>231</v>
      </c>
      <c r="K21" s="11" t="s">
        <v>232</v>
      </c>
      <c r="L21" s="11" t="s">
        <v>233</v>
      </c>
      <c r="M21" s="11" t="s">
        <v>234</v>
      </c>
      <c r="N21" s="25" t="s">
        <v>154</v>
      </c>
      <c r="O21" s="11" t="s">
        <v>235</v>
      </c>
      <c r="P21" s="11" t="s">
        <v>236</v>
      </c>
    </row>
    <row r="22" customFormat="false" ht="51.75" hidden="false" customHeight="true" outlineLevel="0" collapsed="false">
      <c r="A22" s="8" t="s">
        <v>237</v>
      </c>
      <c r="B22" s="9" t="s">
        <v>238</v>
      </c>
      <c r="C22" s="9" t="s">
        <v>239</v>
      </c>
      <c r="D22" s="9" t="s">
        <v>240</v>
      </c>
      <c r="E22" s="9" t="s">
        <v>241</v>
      </c>
      <c r="F22" s="9" t="s">
        <v>242</v>
      </c>
      <c r="G22" s="22" t="s">
        <v>104</v>
      </c>
      <c r="H22" s="23" t="s">
        <v>55</v>
      </c>
      <c r="I22" s="24" t="s">
        <v>52</v>
      </c>
      <c r="J22" s="9" t="s">
        <v>243</v>
      </c>
      <c r="K22" s="9" t="s">
        <v>244</v>
      </c>
      <c r="L22" s="9" t="s">
        <v>245</v>
      </c>
      <c r="M22" s="9" t="s">
        <v>246</v>
      </c>
      <c r="N22" s="25" t="s">
        <v>130</v>
      </c>
      <c r="O22" s="9" t="s">
        <v>247</v>
      </c>
      <c r="P22" s="9" t="s">
        <v>248</v>
      </c>
    </row>
    <row r="23" customFormat="false" ht="51.75" hidden="false" customHeight="true" outlineLevel="0" collapsed="false">
      <c r="A23" s="10" t="s">
        <v>249</v>
      </c>
      <c r="B23" s="11" t="s">
        <v>250</v>
      </c>
      <c r="C23" s="11" t="s">
        <v>251</v>
      </c>
      <c r="D23" s="11" t="s">
        <v>252</v>
      </c>
      <c r="E23" s="11" t="s">
        <v>253</v>
      </c>
      <c r="F23" s="11" t="s">
        <v>254</v>
      </c>
      <c r="G23" s="19" t="s">
        <v>90</v>
      </c>
      <c r="H23" s="19" t="s">
        <v>90</v>
      </c>
      <c r="I23" s="20" t="s">
        <v>91</v>
      </c>
      <c r="J23" s="11" t="s">
        <v>92</v>
      </c>
      <c r="K23" s="11" t="s">
        <v>255</v>
      </c>
      <c r="L23" s="11" t="s">
        <v>256</v>
      </c>
      <c r="M23" s="11" t="s">
        <v>257</v>
      </c>
      <c r="N23" s="21" t="s">
        <v>92</v>
      </c>
      <c r="O23" s="11" t="s">
        <v>258</v>
      </c>
      <c r="P23" s="11" t="s">
        <v>259</v>
      </c>
    </row>
    <row r="24" customFormat="false" ht="51.75" hidden="false" customHeight="true" outlineLevel="0" collapsed="false">
      <c r="A24" s="8" t="s">
        <v>260</v>
      </c>
      <c r="B24" s="9" t="s">
        <v>261</v>
      </c>
      <c r="C24" s="9" t="s">
        <v>262</v>
      </c>
      <c r="D24" s="9" t="s">
        <v>263</v>
      </c>
      <c r="E24" s="9" t="s">
        <v>264</v>
      </c>
      <c r="F24" s="9" t="s">
        <v>265</v>
      </c>
      <c r="G24" s="22" t="s">
        <v>104</v>
      </c>
      <c r="H24" s="23" t="s">
        <v>55</v>
      </c>
      <c r="I24" s="24" t="s">
        <v>52</v>
      </c>
      <c r="J24" s="9" t="s">
        <v>266</v>
      </c>
      <c r="K24" s="9" t="s">
        <v>267</v>
      </c>
      <c r="L24" s="9" t="s">
        <v>268</v>
      </c>
      <c r="M24" s="9" t="s">
        <v>246</v>
      </c>
      <c r="N24" s="25" t="s">
        <v>130</v>
      </c>
      <c r="O24" s="9" t="s">
        <v>269</v>
      </c>
      <c r="P24" s="9" t="s">
        <v>270</v>
      </c>
    </row>
    <row r="25" customFormat="false" ht="6" hidden="false" customHeight="true" outlineLevel="0" collapsed="false"/>
    <row r="26" customFormat="false" ht="21.75" hidden="false" customHeight="true" outlineLevel="0" collapsed="false">
      <c r="A26" s="18" t="s">
        <v>271</v>
      </c>
      <c r="B26" s="18"/>
      <c r="C26" s="18"/>
      <c r="D26" s="18"/>
      <c r="E26" s="18"/>
      <c r="F26" s="18"/>
      <c r="G26" s="18"/>
      <c r="H26" s="18"/>
      <c r="I26" s="18"/>
      <c r="J26" s="18"/>
      <c r="K26" s="18"/>
      <c r="L26" s="18"/>
      <c r="M26" s="18"/>
      <c r="N26" s="18"/>
      <c r="O26" s="18"/>
      <c r="P26" s="18"/>
    </row>
    <row r="27" customFormat="false" ht="51.75" hidden="false" customHeight="true" outlineLevel="0" collapsed="false">
      <c r="A27" s="10" t="s">
        <v>272</v>
      </c>
      <c r="B27" s="11" t="s">
        <v>273</v>
      </c>
      <c r="C27" s="11" t="s">
        <v>274</v>
      </c>
      <c r="D27" s="11" t="s">
        <v>275</v>
      </c>
      <c r="E27" s="11" t="s">
        <v>276</v>
      </c>
      <c r="F27" s="11" t="s">
        <v>277</v>
      </c>
      <c r="G27" s="19" t="s">
        <v>90</v>
      </c>
      <c r="H27" s="19" t="s">
        <v>90</v>
      </c>
      <c r="I27" s="20" t="s">
        <v>91</v>
      </c>
      <c r="J27" s="11" t="s">
        <v>92</v>
      </c>
      <c r="K27" s="11" t="s">
        <v>278</v>
      </c>
      <c r="L27" s="11" t="s">
        <v>279</v>
      </c>
      <c r="M27" s="11" t="s">
        <v>221</v>
      </c>
      <c r="N27" s="21" t="s">
        <v>92</v>
      </c>
      <c r="O27" s="11" t="s">
        <v>280</v>
      </c>
      <c r="P27" s="11" t="s">
        <v>281</v>
      </c>
    </row>
    <row r="28" customFormat="false" ht="51.75" hidden="false" customHeight="true" outlineLevel="0" collapsed="false">
      <c r="A28" s="8" t="s">
        <v>282</v>
      </c>
      <c r="B28" s="9" t="s">
        <v>193</v>
      </c>
      <c r="C28" s="9" t="s">
        <v>283</v>
      </c>
      <c r="D28" s="9" t="s">
        <v>284</v>
      </c>
      <c r="E28" s="9" t="s">
        <v>285</v>
      </c>
      <c r="F28" s="9" t="s">
        <v>286</v>
      </c>
      <c r="G28" s="22" t="s">
        <v>104</v>
      </c>
      <c r="H28" s="23" t="s">
        <v>55</v>
      </c>
      <c r="I28" s="24" t="s">
        <v>52</v>
      </c>
      <c r="J28" s="9" t="s">
        <v>287</v>
      </c>
      <c r="K28" s="9" t="s">
        <v>288</v>
      </c>
      <c r="L28" s="9" t="s">
        <v>289</v>
      </c>
      <c r="M28" s="9" t="s">
        <v>290</v>
      </c>
      <c r="N28" s="25" t="s">
        <v>108</v>
      </c>
      <c r="O28" s="9" t="s">
        <v>291</v>
      </c>
      <c r="P28" s="9" t="s">
        <v>292</v>
      </c>
    </row>
    <row r="29" customFormat="false" ht="6" hidden="false" customHeight="true" outlineLevel="0" collapsed="false"/>
    <row r="30" customFormat="false" ht="21.75" hidden="false" customHeight="true" outlineLevel="0" collapsed="false">
      <c r="A30" s="18" t="s">
        <v>293</v>
      </c>
      <c r="B30" s="18"/>
      <c r="C30" s="18"/>
      <c r="D30" s="18"/>
      <c r="E30" s="18"/>
      <c r="F30" s="18"/>
      <c r="G30" s="18"/>
      <c r="H30" s="18"/>
      <c r="I30" s="18"/>
      <c r="J30" s="18"/>
      <c r="K30" s="18"/>
      <c r="L30" s="18"/>
      <c r="M30" s="18"/>
      <c r="N30" s="18"/>
      <c r="O30" s="18"/>
      <c r="P30" s="18"/>
    </row>
    <row r="31" customFormat="false" ht="51.75" hidden="false" customHeight="true" outlineLevel="0" collapsed="false">
      <c r="A31" s="10" t="s">
        <v>294</v>
      </c>
      <c r="B31" s="11" t="s">
        <v>295</v>
      </c>
      <c r="C31" s="11" t="s">
        <v>296</v>
      </c>
      <c r="D31" s="11" t="s">
        <v>297</v>
      </c>
      <c r="E31" s="11" t="s">
        <v>298</v>
      </c>
      <c r="F31" s="11" t="s">
        <v>299</v>
      </c>
      <c r="G31" s="22" t="s">
        <v>104</v>
      </c>
      <c r="H31" s="23" t="s">
        <v>55</v>
      </c>
      <c r="I31" s="24" t="s">
        <v>52</v>
      </c>
      <c r="J31" s="11" t="s">
        <v>300</v>
      </c>
      <c r="K31" s="11" t="s">
        <v>301</v>
      </c>
      <c r="L31" s="11" t="s">
        <v>302</v>
      </c>
      <c r="M31" s="11" t="s">
        <v>303</v>
      </c>
      <c r="N31" s="25" t="s">
        <v>108</v>
      </c>
      <c r="O31" s="11" t="s">
        <v>304</v>
      </c>
      <c r="P31" s="11" t="s">
        <v>305</v>
      </c>
    </row>
    <row r="32" customFormat="false" ht="51.75" hidden="false" customHeight="true" outlineLevel="0" collapsed="false">
      <c r="A32" s="8" t="s">
        <v>306</v>
      </c>
      <c r="B32" s="9" t="s">
        <v>307</v>
      </c>
      <c r="C32" s="9" t="s">
        <v>308</v>
      </c>
      <c r="D32" s="9" t="s">
        <v>309</v>
      </c>
      <c r="E32" s="9" t="s">
        <v>310</v>
      </c>
      <c r="F32" s="9" t="s">
        <v>311</v>
      </c>
      <c r="G32" s="19" t="s">
        <v>90</v>
      </c>
      <c r="H32" s="26" t="s">
        <v>56</v>
      </c>
      <c r="I32" s="20" t="s">
        <v>91</v>
      </c>
      <c r="J32" s="9" t="s">
        <v>312</v>
      </c>
      <c r="K32" s="9" t="s">
        <v>313</v>
      </c>
      <c r="L32" s="9" t="s">
        <v>314</v>
      </c>
      <c r="M32" s="9" t="s">
        <v>303</v>
      </c>
      <c r="N32" s="21" t="s">
        <v>92</v>
      </c>
      <c r="O32" s="9" t="s">
        <v>315</v>
      </c>
      <c r="P32" s="9" t="s">
        <v>316</v>
      </c>
    </row>
    <row r="33" customFormat="false" ht="51.75" hidden="false" customHeight="true" outlineLevel="0" collapsed="false">
      <c r="A33" s="10" t="s">
        <v>317</v>
      </c>
      <c r="B33" s="11" t="s">
        <v>318</v>
      </c>
      <c r="C33" s="11" t="s">
        <v>319</v>
      </c>
      <c r="D33" s="11" t="s">
        <v>320</v>
      </c>
      <c r="E33" s="11" t="s">
        <v>321</v>
      </c>
      <c r="F33" s="11" t="s">
        <v>322</v>
      </c>
      <c r="G33" s="19" t="s">
        <v>90</v>
      </c>
      <c r="H33" s="19" t="s">
        <v>90</v>
      </c>
      <c r="I33" s="20" t="s">
        <v>91</v>
      </c>
      <c r="J33" s="11" t="s">
        <v>92</v>
      </c>
      <c r="K33" s="11" t="s">
        <v>323</v>
      </c>
      <c r="L33" s="11" t="s">
        <v>279</v>
      </c>
      <c r="M33" s="11" t="s">
        <v>189</v>
      </c>
      <c r="N33" s="21" t="s">
        <v>92</v>
      </c>
      <c r="O33" s="11" t="s">
        <v>324</v>
      </c>
      <c r="P33" s="11" t="s">
        <v>325</v>
      </c>
    </row>
    <row r="34" customFormat="false" ht="51.75" hidden="false" customHeight="true" outlineLevel="0" collapsed="false">
      <c r="A34" s="8" t="s">
        <v>326</v>
      </c>
      <c r="B34" s="9" t="s">
        <v>327</v>
      </c>
      <c r="C34" s="9" t="s">
        <v>328</v>
      </c>
      <c r="D34" s="9" t="s">
        <v>329</v>
      </c>
      <c r="E34" s="9" t="s">
        <v>330</v>
      </c>
      <c r="F34" s="9" t="s">
        <v>331</v>
      </c>
      <c r="G34" s="19" t="s">
        <v>90</v>
      </c>
      <c r="H34" s="19" t="s">
        <v>90</v>
      </c>
      <c r="I34" s="20" t="s">
        <v>91</v>
      </c>
      <c r="J34" s="9" t="s">
        <v>92</v>
      </c>
      <c r="K34" s="9" t="s">
        <v>332</v>
      </c>
      <c r="L34" s="9" t="s">
        <v>333</v>
      </c>
      <c r="M34" s="9" t="s">
        <v>303</v>
      </c>
      <c r="N34" s="21" t="s">
        <v>92</v>
      </c>
      <c r="O34" s="9" t="s">
        <v>334</v>
      </c>
      <c r="P34" s="9" t="s">
        <v>335</v>
      </c>
    </row>
  </sheetData>
  <mergeCells count="7">
    <mergeCell ref="A1:P1"/>
    <mergeCell ref="A2:P2"/>
    <mergeCell ref="A4:P4"/>
    <mergeCell ref="A13:P13"/>
    <mergeCell ref="A20:P20"/>
    <mergeCell ref="A26:P26"/>
    <mergeCell ref="A30:P30"/>
  </mergeCells>
  <dataValidations count="3">
    <dataValidation allowBlank="false" errorStyle="stop" operator="between" showDropDown="false" showErrorMessage="false" showInputMessage="false" sqref="G5:G11 G14:G18 G21:G24 G27:G28 G31:G34" type="list">
      <formula1>"Compliant,Partial,Gap,Not Tested"</formula1>
      <formula2>0</formula2>
    </dataValidation>
    <dataValidation allowBlank="false" errorStyle="stop" operator="between" showDropDown="false" showErrorMessage="false" showInputMessage="false" sqref="H5:H11 H14:H18 H21:H24 H27:H28 H31:H34" type="list">
      <formula1>"Major NC,Minor NC,OFI,Compliant,N/A"</formula1>
      <formula2>0</formula2>
    </dataValidation>
    <dataValidation allowBlank="false" errorStyle="stop" operator="between" showDropDown="false" showErrorMessage="false" showInputMessage="false" sqref="I5:I11 I14:I18 I21:I24 I27:I28 I31:I34" type="list">
      <formula1>"Critical,High,Medium,Low,N/A"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1"/>
    <col collapsed="false" customWidth="true" hidden="false" outlineLevel="0" max="4" min="4" style="1" width="38"/>
    <col collapsed="false" customWidth="true" hidden="false" outlineLevel="0" max="5" min="5" style="1" width="14"/>
    <col collapsed="false" customWidth="true" hidden="false" outlineLevel="0" max="6" min="6" style="1" width="28"/>
    <col collapsed="false" customWidth="true" hidden="false" outlineLevel="0" max="7" min="7" style="1" width="38"/>
    <col collapsed="false" customWidth="true" hidden="false" outlineLevel="0" max="8" min="8" style="1" width="26"/>
    <col collapsed="false" customWidth="true" hidden="false" outlineLevel="0" max="9" min="9" style="1" width="18"/>
    <col collapsed="false" customWidth="true" hidden="false" outlineLevel="0" max="11" min="10" style="1" width="13"/>
    <col collapsed="false" customWidth="true" hidden="false" outlineLevel="0" max="12" min="12" style="1" width="22"/>
  </cols>
  <sheetData>
    <row r="1" customFormat="false" ht="27.75" hidden="false" customHeight="true" outlineLevel="0" collapsed="false">
      <c r="A1" s="15" t="s">
        <v>336</v>
      </c>
      <c r="B1" s="15"/>
      <c r="C1" s="15"/>
      <c r="D1" s="15"/>
      <c r="E1" s="15"/>
      <c r="F1" s="15"/>
      <c r="G1" s="15"/>
      <c r="H1" s="15"/>
      <c r="I1" s="15"/>
      <c r="J1" s="15"/>
      <c r="K1" s="15"/>
      <c r="L1" s="15"/>
    </row>
    <row r="2" customFormat="false" ht="25.5" hidden="false" customHeight="true" outlineLevel="0" collapsed="false">
      <c r="A2" s="17" t="s">
        <v>337</v>
      </c>
      <c r="B2" s="17" t="s">
        <v>67</v>
      </c>
      <c r="C2" s="17" t="s">
        <v>338</v>
      </c>
      <c r="D2" s="17" t="s">
        <v>339</v>
      </c>
      <c r="E2" s="17" t="s">
        <v>340</v>
      </c>
      <c r="F2" s="17" t="s">
        <v>341</v>
      </c>
      <c r="G2" s="17" t="s">
        <v>342</v>
      </c>
      <c r="H2" s="17" t="s">
        <v>343</v>
      </c>
      <c r="I2" s="17" t="s">
        <v>344</v>
      </c>
      <c r="J2" s="17" t="s">
        <v>80</v>
      </c>
      <c r="K2" s="17" t="s">
        <v>345</v>
      </c>
      <c r="L2" s="17" t="s">
        <v>346</v>
      </c>
    </row>
    <row r="3" customFormat="false" ht="55.5" hidden="false" customHeight="true" outlineLevel="0" collapsed="false">
      <c r="A3" s="27" t="s">
        <v>347</v>
      </c>
      <c r="B3" s="25" t="s">
        <v>145</v>
      </c>
      <c r="C3" s="27" t="s">
        <v>54</v>
      </c>
      <c r="D3" s="25" t="s">
        <v>348</v>
      </c>
      <c r="E3" s="25" t="s">
        <v>146</v>
      </c>
      <c r="F3" s="25" t="s">
        <v>349</v>
      </c>
      <c r="G3" s="25" t="s">
        <v>350</v>
      </c>
      <c r="H3" s="25" t="s">
        <v>351</v>
      </c>
      <c r="I3" s="25" t="s">
        <v>95</v>
      </c>
      <c r="J3" s="25" t="s">
        <v>154</v>
      </c>
      <c r="K3" s="25" t="s">
        <v>352</v>
      </c>
      <c r="L3" s="25" t="s">
        <v>353</v>
      </c>
    </row>
    <row r="4" customFormat="false" ht="55.5" hidden="false" customHeight="true" outlineLevel="0" collapsed="false">
      <c r="A4" s="28" t="s">
        <v>354</v>
      </c>
      <c r="B4" s="29" t="s">
        <v>98</v>
      </c>
      <c r="C4" s="28" t="s">
        <v>55</v>
      </c>
      <c r="D4" s="29" t="s">
        <v>355</v>
      </c>
      <c r="E4" s="29" t="s">
        <v>99</v>
      </c>
      <c r="F4" s="29" t="s">
        <v>356</v>
      </c>
      <c r="G4" s="29" t="s">
        <v>357</v>
      </c>
      <c r="H4" s="29" t="s">
        <v>358</v>
      </c>
      <c r="I4" s="29" t="s">
        <v>95</v>
      </c>
      <c r="J4" s="29" t="s">
        <v>108</v>
      </c>
      <c r="K4" s="25" t="s">
        <v>352</v>
      </c>
      <c r="L4" s="29" t="s">
        <v>359</v>
      </c>
    </row>
    <row r="5" customFormat="false" ht="55.5" hidden="false" customHeight="true" outlineLevel="0" collapsed="false">
      <c r="A5" s="28" t="s">
        <v>360</v>
      </c>
      <c r="B5" s="29" t="s">
        <v>121</v>
      </c>
      <c r="C5" s="28" t="s">
        <v>55</v>
      </c>
      <c r="D5" s="29" t="s">
        <v>361</v>
      </c>
      <c r="E5" s="29" t="s">
        <v>122</v>
      </c>
      <c r="F5" s="29" t="s">
        <v>362</v>
      </c>
      <c r="G5" s="29" t="s">
        <v>363</v>
      </c>
      <c r="H5" s="29" t="s">
        <v>364</v>
      </c>
      <c r="I5" s="29" t="s">
        <v>95</v>
      </c>
      <c r="J5" s="29" t="s">
        <v>130</v>
      </c>
      <c r="K5" s="25" t="s">
        <v>352</v>
      </c>
      <c r="L5" s="29" t="s">
        <v>365</v>
      </c>
    </row>
    <row r="6" customFormat="false" ht="55.5" hidden="false" customHeight="true" outlineLevel="0" collapsed="false">
      <c r="A6" s="28" t="s">
        <v>366</v>
      </c>
      <c r="B6" s="29" t="s">
        <v>133</v>
      </c>
      <c r="C6" s="28" t="s">
        <v>55</v>
      </c>
      <c r="D6" s="29" t="s">
        <v>367</v>
      </c>
      <c r="E6" s="29" t="s">
        <v>122</v>
      </c>
      <c r="F6" s="29" t="s">
        <v>368</v>
      </c>
      <c r="G6" s="29" t="s">
        <v>369</v>
      </c>
      <c r="H6" s="29" t="s">
        <v>370</v>
      </c>
      <c r="I6" s="29" t="s">
        <v>142</v>
      </c>
      <c r="J6" s="29" t="s">
        <v>108</v>
      </c>
      <c r="K6" s="25" t="s">
        <v>352</v>
      </c>
      <c r="L6" s="29" t="s">
        <v>365</v>
      </c>
    </row>
    <row r="7" customFormat="false" ht="55.5" hidden="false" customHeight="true" outlineLevel="0" collapsed="false">
      <c r="A7" s="28" t="s">
        <v>371</v>
      </c>
      <c r="B7" s="29" t="s">
        <v>169</v>
      </c>
      <c r="C7" s="28" t="s">
        <v>55</v>
      </c>
      <c r="D7" s="29" t="s">
        <v>372</v>
      </c>
      <c r="E7" s="29" t="s">
        <v>170</v>
      </c>
      <c r="F7" s="29" t="s">
        <v>373</v>
      </c>
      <c r="G7" s="29" t="s">
        <v>374</v>
      </c>
      <c r="H7" s="29" t="s">
        <v>375</v>
      </c>
      <c r="I7" s="29" t="s">
        <v>165</v>
      </c>
      <c r="J7" s="29" t="s">
        <v>130</v>
      </c>
      <c r="K7" s="25" t="s">
        <v>352</v>
      </c>
      <c r="L7" s="29" t="s">
        <v>365</v>
      </c>
    </row>
    <row r="8" customFormat="false" ht="55.5" hidden="false" customHeight="true" outlineLevel="0" collapsed="false">
      <c r="A8" s="28" t="s">
        <v>376</v>
      </c>
      <c r="B8" s="29" t="s">
        <v>180</v>
      </c>
      <c r="C8" s="28" t="s">
        <v>55</v>
      </c>
      <c r="D8" s="29" t="s">
        <v>377</v>
      </c>
      <c r="E8" s="29" t="s">
        <v>181</v>
      </c>
      <c r="F8" s="29" t="s">
        <v>378</v>
      </c>
      <c r="G8" s="29" t="s">
        <v>379</v>
      </c>
      <c r="H8" s="29" t="s">
        <v>380</v>
      </c>
      <c r="I8" s="29" t="s">
        <v>189</v>
      </c>
      <c r="J8" s="29" t="s">
        <v>154</v>
      </c>
      <c r="K8" s="25" t="s">
        <v>352</v>
      </c>
      <c r="L8" s="29" t="s">
        <v>365</v>
      </c>
    </row>
    <row r="9" customFormat="false" ht="55.5" hidden="false" customHeight="true" outlineLevel="0" collapsed="false">
      <c r="A9" s="28" t="s">
        <v>381</v>
      </c>
      <c r="B9" s="29" t="s">
        <v>225</v>
      </c>
      <c r="C9" s="28" t="s">
        <v>55</v>
      </c>
      <c r="D9" s="29" t="s">
        <v>382</v>
      </c>
      <c r="E9" s="29" t="s">
        <v>226</v>
      </c>
      <c r="F9" s="29" t="s">
        <v>383</v>
      </c>
      <c r="G9" s="29" t="s">
        <v>384</v>
      </c>
      <c r="H9" s="29" t="s">
        <v>385</v>
      </c>
      <c r="I9" s="29" t="s">
        <v>234</v>
      </c>
      <c r="J9" s="29" t="s">
        <v>154</v>
      </c>
      <c r="K9" s="25" t="s">
        <v>352</v>
      </c>
      <c r="L9" s="29" t="s">
        <v>386</v>
      </c>
    </row>
    <row r="10" customFormat="false" ht="55.5" hidden="false" customHeight="true" outlineLevel="0" collapsed="false">
      <c r="A10" s="28" t="s">
        <v>387</v>
      </c>
      <c r="B10" s="29" t="s">
        <v>237</v>
      </c>
      <c r="C10" s="28" t="s">
        <v>55</v>
      </c>
      <c r="D10" s="29" t="s">
        <v>388</v>
      </c>
      <c r="E10" s="29" t="s">
        <v>238</v>
      </c>
      <c r="F10" s="29" t="s">
        <v>389</v>
      </c>
      <c r="G10" s="29" t="s">
        <v>390</v>
      </c>
      <c r="H10" s="29" t="s">
        <v>391</v>
      </c>
      <c r="I10" s="29" t="s">
        <v>246</v>
      </c>
      <c r="J10" s="29" t="s">
        <v>130</v>
      </c>
      <c r="K10" s="25" t="s">
        <v>352</v>
      </c>
      <c r="L10" s="29" t="s">
        <v>365</v>
      </c>
    </row>
    <row r="11" customFormat="false" ht="55.5" hidden="false" customHeight="true" outlineLevel="0" collapsed="false">
      <c r="A11" s="28" t="s">
        <v>392</v>
      </c>
      <c r="B11" s="29" t="s">
        <v>260</v>
      </c>
      <c r="C11" s="28" t="s">
        <v>55</v>
      </c>
      <c r="D11" s="29" t="s">
        <v>393</v>
      </c>
      <c r="E11" s="29" t="s">
        <v>261</v>
      </c>
      <c r="F11" s="29" t="s">
        <v>394</v>
      </c>
      <c r="G11" s="29" t="s">
        <v>395</v>
      </c>
      <c r="H11" s="29" t="s">
        <v>396</v>
      </c>
      <c r="I11" s="29" t="s">
        <v>246</v>
      </c>
      <c r="J11" s="29" t="s">
        <v>130</v>
      </c>
      <c r="K11" s="25" t="s">
        <v>352</v>
      </c>
      <c r="L11" s="29" t="s">
        <v>397</v>
      </c>
    </row>
    <row r="12" customFormat="false" ht="55.5" hidden="false" customHeight="true" outlineLevel="0" collapsed="false">
      <c r="A12" s="28" t="s">
        <v>398</v>
      </c>
      <c r="B12" s="29" t="s">
        <v>282</v>
      </c>
      <c r="C12" s="28" t="s">
        <v>55</v>
      </c>
      <c r="D12" s="29" t="s">
        <v>399</v>
      </c>
      <c r="E12" s="29" t="s">
        <v>193</v>
      </c>
      <c r="F12" s="29" t="s">
        <v>400</v>
      </c>
      <c r="G12" s="29" t="s">
        <v>401</v>
      </c>
      <c r="H12" s="29" t="s">
        <v>402</v>
      </c>
      <c r="I12" s="29" t="s">
        <v>290</v>
      </c>
      <c r="J12" s="29" t="s">
        <v>108</v>
      </c>
      <c r="K12" s="25" t="s">
        <v>352</v>
      </c>
      <c r="L12" s="29" t="s">
        <v>365</v>
      </c>
    </row>
    <row r="13" customFormat="false" ht="55.5" hidden="false" customHeight="true" outlineLevel="0" collapsed="false">
      <c r="A13" s="28" t="s">
        <v>403</v>
      </c>
      <c r="B13" s="29" t="s">
        <v>294</v>
      </c>
      <c r="C13" s="28" t="s">
        <v>55</v>
      </c>
      <c r="D13" s="29" t="s">
        <v>404</v>
      </c>
      <c r="E13" s="29" t="s">
        <v>295</v>
      </c>
      <c r="F13" s="29" t="s">
        <v>405</v>
      </c>
      <c r="G13" s="29" t="s">
        <v>406</v>
      </c>
      <c r="H13" s="29" t="s">
        <v>407</v>
      </c>
      <c r="I13" s="29" t="s">
        <v>303</v>
      </c>
      <c r="J13" s="29" t="s">
        <v>108</v>
      </c>
      <c r="K13" s="25" t="s">
        <v>352</v>
      </c>
      <c r="L13" s="29" t="s">
        <v>365</v>
      </c>
    </row>
    <row r="14" customFormat="false" ht="55.5" hidden="false" customHeight="true" outlineLevel="0" collapsed="false">
      <c r="A14" s="26" t="s">
        <v>408</v>
      </c>
      <c r="B14" s="30" t="s">
        <v>212</v>
      </c>
      <c r="C14" s="26" t="s">
        <v>56</v>
      </c>
      <c r="D14" s="30" t="s">
        <v>409</v>
      </c>
      <c r="E14" s="30" t="s">
        <v>213</v>
      </c>
      <c r="F14" s="30" t="s">
        <v>410</v>
      </c>
      <c r="G14" s="30" t="s">
        <v>411</v>
      </c>
      <c r="H14" s="30" t="s">
        <v>412</v>
      </c>
      <c r="I14" s="30" t="s">
        <v>221</v>
      </c>
      <c r="J14" s="30" t="s">
        <v>92</v>
      </c>
      <c r="K14" s="25" t="s">
        <v>352</v>
      </c>
      <c r="L14" s="30" t="s">
        <v>413</v>
      </c>
    </row>
    <row r="15" customFormat="false" ht="55.5" hidden="false" customHeight="true" outlineLevel="0" collapsed="false">
      <c r="A15" s="26" t="s">
        <v>414</v>
      </c>
      <c r="B15" s="30" t="s">
        <v>306</v>
      </c>
      <c r="C15" s="26" t="s">
        <v>56</v>
      </c>
      <c r="D15" s="30" t="s">
        <v>415</v>
      </c>
      <c r="E15" s="30" t="s">
        <v>307</v>
      </c>
      <c r="F15" s="30" t="s">
        <v>416</v>
      </c>
      <c r="G15" s="30" t="s">
        <v>417</v>
      </c>
      <c r="H15" s="30" t="s">
        <v>412</v>
      </c>
      <c r="I15" s="30" t="s">
        <v>303</v>
      </c>
      <c r="J15" s="30" t="s">
        <v>92</v>
      </c>
      <c r="K15" s="25" t="s">
        <v>352</v>
      </c>
      <c r="L15" s="30" t="s">
        <v>418</v>
      </c>
    </row>
  </sheetData>
  <mergeCells count="1">
    <mergeCell ref="A1:L1"/>
  </mergeCells>
  <dataValidations count="2">
    <dataValidation allowBlank="false" errorStyle="stop" operator="between" showDropDown="false" showErrorMessage="false" showInputMessage="false" sqref="C3:C15" type="list">
      <formula1>"Major NC,Minor NC,OFI"</formula1>
      <formula2>0</formula2>
    </dataValidation>
    <dataValidation allowBlank="false" errorStyle="stop" operator="between" showDropDown="false" showErrorMessage="false" showInputMessage="false" sqref="K3:K15"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2026-05-28T22:18:46Z</dcterms:created>
  <dc:creator>openpyxl</dc:creator>
  <dc:description/>
  <dc:language>en-US</dc:language>
  <cp:lastModifiedBy/>
  <dcterms:modified xsi:type="dcterms:W3CDTF">2026-05-31T00:02:42Z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